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en_skoroszyt" hidePivotFieldList="1"/>
  <mc:AlternateContent xmlns:mc="http://schemas.openxmlformats.org/markup-compatibility/2006">
    <mc:Choice Requires="x15">
      <x15ac:absPath xmlns:x15ac="http://schemas.microsoft.com/office/spreadsheetml/2010/11/ac" url="C:\Users\local\Downloads\"/>
    </mc:Choice>
  </mc:AlternateContent>
  <xr:revisionPtr revIDLastSave="0" documentId="13_ncr:1_{A2521F58-CF8A-48E9-AF97-C418E02AF3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e" sheetId="1" r:id="rId1"/>
    <sheet name="Wykres predkosci do obrotow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1" l="1"/>
  <c r="I37" i="1" s="1"/>
  <c r="J37" i="1" s="1"/>
  <c r="E33" i="1"/>
  <c r="D33" i="1" s="1"/>
  <c r="R33" i="1"/>
  <c r="T33" i="1" s="1"/>
  <c r="U33" i="1"/>
  <c r="V33" i="1"/>
  <c r="W33" i="1"/>
  <c r="X33" i="1"/>
  <c r="R34" i="1"/>
  <c r="U34" i="1" s="1"/>
  <c r="T34" i="1"/>
  <c r="R35" i="1"/>
  <c r="T35" i="1" s="1"/>
  <c r="V35" i="1"/>
  <c r="W35" i="1"/>
  <c r="X35" i="1"/>
  <c r="R36" i="1"/>
  <c r="W36" i="1" s="1"/>
  <c r="T36" i="1"/>
  <c r="U36" i="1"/>
  <c r="V36" i="1"/>
  <c r="R37" i="1"/>
  <c r="T37" i="1" s="1"/>
  <c r="U37" i="1"/>
  <c r="V37" i="1"/>
  <c r="W37" i="1"/>
  <c r="X37" i="1"/>
  <c r="R38" i="1"/>
  <c r="X38" i="1" s="1"/>
  <c r="T38" i="1"/>
  <c r="U38" i="1"/>
  <c r="V38" i="1"/>
  <c r="W38" i="1"/>
  <c r="R39" i="1"/>
  <c r="T39" i="1"/>
  <c r="U39" i="1"/>
  <c r="V39" i="1"/>
  <c r="W39" i="1"/>
  <c r="X39" i="1"/>
  <c r="R40" i="1"/>
  <c r="X40" i="1" s="1"/>
  <c r="T40" i="1"/>
  <c r="U40" i="1"/>
  <c r="V40" i="1"/>
  <c r="W40" i="1"/>
  <c r="C25" i="1"/>
  <c r="A25" i="1"/>
  <c r="A20" i="1"/>
  <c r="R82" i="1"/>
  <c r="R81" i="1"/>
  <c r="R80" i="1"/>
  <c r="R79" i="1"/>
  <c r="R78" i="1"/>
  <c r="R77" i="1"/>
  <c r="R76" i="1"/>
  <c r="R75" i="1"/>
  <c r="R74" i="1"/>
  <c r="R73" i="1"/>
  <c r="R72" i="1"/>
  <c r="R71" i="1"/>
  <c r="V71" i="1" s="1"/>
  <c r="R70" i="1"/>
  <c r="R69" i="1"/>
  <c r="R68" i="1"/>
  <c r="R67" i="1"/>
  <c r="R66" i="1"/>
  <c r="R65" i="1"/>
  <c r="R64" i="1"/>
  <c r="R63" i="1"/>
  <c r="R62" i="1"/>
  <c r="V62" i="1" s="1"/>
  <c r="R61" i="1"/>
  <c r="R60" i="1"/>
  <c r="R59" i="1"/>
  <c r="V59" i="1" s="1"/>
  <c r="R58" i="1"/>
  <c r="R57" i="1"/>
  <c r="R56" i="1"/>
  <c r="R55" i="1"/>
  <c r="R54" i="1"/>
  <c r="R53" i="1"/>
  <c r="R52" i="1"/>
  <c r="R51" i="1"/>
  <c r="R50" i="1"/>
  <c r="V50" i="1" s="1"/>
  <c r="R49" i="1"/>
  <c r="R48" i="1"/>
  <c r="R47" i="1"/>
  <c r="W47" i="1" s="1"/>
  <c r="R46" i="1"/>
  <c r="R45" i="1"/>
  <c r="R44" i="1"/>
  <c r="R43" i="1"/>
  <c r="R42" i="1"/>
  <c r="R41" i="1"/>
  <c r="R32" i="1"/>
  <c r="R31" i="1"/>
  <c r="R30" i="1"/>
  <c r="R29" i="1"/>
  <c r="R28" i="1"/>
  <c r="R27" i="1"/>
  <c r="R26" i="1"/>
  <c r="R25" i="1"/>
  <c r="X25" i="1" s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Y12" i="1" s="1"/>
  <c r="R11" i="1"/>
  <c r="R10" i="1"/>
  <c r="R9" i="1"/>
  <c r="C9" i="1"/>
  <c r="R8" i="1"/>
  <c r="C8" i="1"/>
  <c r="R7" i="1"/>
  <c r="C7" i="1"/>
  <c r="R6" i="1"/>
  <c r="C6" i="1"/>
  <c r="R5" i="1"/>
  <c r="C5" i="1"/>
  <c r="R4" i="1"/>
  <c r="C4" i="1"/>
  <c r="B4" i="1"/>
  <c r="R3" i="1"/>
  <c r="C3" i="1"/>
  <c r="B3" i="1"/>
  <c r="R2" i="1"/>
  <c r="C2" i="1"/>
  <c r="B2" i="1"/>
  <c r="I84" i="1" l="1"/>
  <c r="J84" i="1" s="1"/>
  <c r="I72" i="1"/>
  <c r="J72" i="1" s="1"/>
  <c r="I60" i="1"/>
  <c r="J60" i="1" s="1"/>
  <c r="I48" i="1"/>
  <c r="J48" i="1" s="1"/>
  <c r="I36" i="1"/>
  <c r="J36" i="1" s="1"/>
  <c r="I71" i="1"/>
  <c r="J71" i="1" s="1"/>
  <c r="I81" i="1"/>
  <c r="J81" i="1" s="1"/>
  <c r="I92" i="1"/>
  <c r="J92" i="1" s="1"/>
  <c r="I79" i="1"/>
  <c r="J79" i="1" s="1"/>
  <c r="I89" i="1"/>
  <c r="J89" i="1" s="1"/>
  <c r="I77" i="1"/>
  <c r="J77" i="1" s="1"/>
  <c r="I65" i="1"/>
  <c r="J65" i="1" s="1"/>
  <c r="I53" i="1"/>
  <c r="J53" i="1" s="1"/>
  <c r="I41" i="1"/>
  <c r="J41" i="1" s="1"/>
  <c r="I83" i="1"/>
  <c r="J83" i="1" s="1"/>
  <c r="I47" i="1"/>
  <c r="J47" i="1" s="1"/>
  <c r="I58" i="1"/>
  <c r="J58" i="1" s="1"/>
  <c r="I69" i="1"/>
  <c r="J69" i="1" s="1"/>
  <c r="I43" i="1"/>
  <c r="J43" i="1" s="1"/>
  <c r="I42" i="1"/>
  <c r="J42" i="1" s="1"/>
  <c r="I88" i="1"/>
  <c r="J88" i="1" s="1"/>
  <c r="I76" i="1"/>
  <c r="J76" i="1" s="1"/>
  <c r="I64" i="1"/>
  <c r="J64" i="1" s="1"/>
  <c r="I52" i="1"/>
  <c r="J52" i="1" s="1"/>
  <c r="I40" i="1"/>
  <c r="J40" i="1" s="1"/>
  <c r="I35" i="1"/>
  <c r="J35" i="1" s="1"/>
  <c r="I82" i="1"/>
  <c r="J82" i="1" s="1"/>
  <c r="I46" i="1"/>
  <c r="J46" i="1" s="1"/>
  <c r="I68" i="1"/>
  <c r="J68" i="1" s="1"/>
  <c r="I55" i="1"/>
  <c r="J55" i="1" s="1"/>
  <c r="I78" i="1"/>
  <c r="J78" i="1" s="1"/>
  <c r="I87" i="1"/>
  <c r="J87" i="1" s="1"/>
  <c r="I75" i="1"/>
  <c r="J75" i="1" s="1"/>
  <c r="I63" i="1"/>
  <c r="J63" i="1" s="1"/>
  <c r="I51" i="1"/>
  <c r="J51" i="1" s="1"/>
  <c r="I39" i="1"/>
  <c r="J39" i="1" s="1"/>
  <c r="I59" i="1"/>
  <c r="J59" i="1" s="1"/>
  <c r="I70" i="1"/>
  <c r="J70" i="1" s="1"/>
  <c r="I33" i="1"/>
  <c r="J33" i="1" s="1"/>
  <c r="I45" i="1"/>
  <c r="J45" i="1" s="1"/>
  <c r="I80" i="1"/>
  <c r="J80" i="1" s="1"/>
  <c r="I44" i="1"/>
  <c r="J44" i="1" s="1"/>
  <c r="I67" i="1"/>
  <c r="J67" i="1" s="1"/>
  <c r="I66" i="1"/>
  <c r="J66" i="1" s="1"/>
  <c r="I86" i="1"/>
  <c r="J86" i="1" s="1"/>
  <c r="I74" i="1"/>
  <c r="J74" i="1" s="1"/>
  <c r="I62" i="1"/>
  <c r="J62" i="1" s="1"/>
  <c r="I50" i="1"/>
  <c r="J50" i="1" s="1"/>
  <c r="I38" i="1"/>
  <c r="J38" i="1" s="1"/>
  <c r="I34" i="1"/>
  <c r="J34" i="1" s="1"/>
  <c r="I57" i="1"/>
  <c r="J57" i="1" s="1"/>
  <c r="I56" i="1"/>
  <c r="J56" i="1" s="1"/>
  <c r="I91" i="1"/>
  <c r="J91" i="1" s="1"/>
  <c r="I90" i="1"/>
  <c r="J90" i="1" s="1"/>
  <c r="I54" i="1"/>
  <c r="J54" i="1" s="1"/>
  <c r="I85" i="1"/>
  <c r="J85" i="1" s="1"/>
  <c r="I73" i="1"/>
  <c r="J73" i="1" s="1"/>
  <c r="I61" i="1"/>
  <c r="J61" i="1" s="1"/>
  <c r="I49" i="1"/>
  <c r="J49" i="1" s="1"/>
  <c r="X34" i="1"/>
  <c r="W34" i="1"/>
  <c r="X36" i="1"/>
  <c r="V34" i="1"/>
  <c r="Y42" i="1"/>
  <c r="U35" i="1"/>
  <c r="U6" i="1"/>
  <c r="Z40" i="1"/>
  <c r="T76" i="1"/>
  <c r="AA53" i="1"/>
  <c r="AA18" i="1"/>
  <c r="AA42" i="1"/>
  <c r="T8" i="1"/>
  <c r="C33" i="1" s="1"/>
  <c r="W31" i="1"/>
  <c r="W65" i="1"/>
  <c r="Y45" i="1"/>
  <c r="V70" i="1"/>
  <c r="V9" i="1"/>
  <c r="V15" i="1"/>
  <c r="Z21" i="1"/>
  <c r="U28" i="1"/>
  <c r="T48" i="1"/>
  <c r="AA57" i="1"/>
  <c r="AA65" i="1"/>
  <c r="V74" i="1"/>
  <c r="V76" i="1"/>
  <c r="V66" i="1"/>
  <c r="Y77" i="1"/>
  <c r="T42" i="1"/>
  <c r="Z78" i="1"/>
  <c r="Z6" i="1"/>
  <c r="V28" i="1"/>
  <c r="Z22" i="1"/>
  <c r="AA10" i="1"/>
  <c r="Z42" i="1"/>
  <c r="AA7" i="1"/>
  <c r="AA61" i="1"/>
  <c r="Z36" i="1"/>
  <c r="V6" i="1"/>
  <c r="X28" i="1"/>
  <c r="Z11" i="1"/>
  <c r="V51" i="1"/>
  <c r="U17" i="1"/>
  <c r="V12" i="1"/>
  <c r="V25" i="1"/>
  <c r="Z18" i="1"/>
  <c r="W53" i="1"/>
  <c r="X12" i="1"/>
  <c r="V63" i="1"/>
  <c r="X80" i="1"/>
  <c r="W15" i="1"/>
  <c r="V75" i="1"/>
  <c r="W28" i="1"/>
  <c r="V67" i="1"/>
  <c r="Z23" i="1"/>
  <c r="Y28" i="1"/>
  <c r="AA69" i="1"/>
  <c r="U25" i="1"/>
  <c r="Y38" i="1"/>
  <c r="W12" i="1"/>
  <c r="AA26" i="1"/>
  <c r="Z32" i="1"/>
  <c r="W46" i="1"/>
  <c r="V54" i="1"/>
  <c r="Y64" i="1"/>
  <c r="Y72" i="1"/>
  <c r="AA21" i="1"/>
  <c r="AA49" i="1"/>
  <c r="Y15" i="1"/>
  <c r="Z15" i="1"/>
  <c r="U68" i="1"/>
  <c r="AA16" i="1"/>
  <c r="T60" i="1"/>
  <c r="Z12" i="1"/>
  <c r="AA29" i="1"/>
  <c r="Z3" i="1"/>
  <c r="W30" i="1"/>
  <c r="W8" i="1"/>
  <c r="W25" i="1"/>
  <c r="AA4" i="1"/>
  <c r="AA13" i="1"/>
  <c r="Z20" i="1"/>
  <c r="T27" i="1"/>
  <c r="AA33" i="1"/>
  <c r="V55" i="1"/>
  <c r="AA73" i="1"/>
  <c r="W9" i="1"/>
  <c r="V58" i="1"/>
  <c r="X9" i="1"/>
  <c r="U2" i="1"/>
  <c r="AA24" i="1"/>
  <c r="Y52" i="1"/>
  <c r="Y18" i="1"/>
  <c r="U8" i="1"/>
  <c r="W5" i="1"/>
  <c r="U9" i="1"/>
  <c r="AA14" i="1"/>
  <c r="Y21" i="1"/>
  <c r="T28" i="1"/>
  <c r="T41" i="1"/>
  <c r="Y56" i="1"/>
  <c r="Y7" i="1"/>
  <c r="T5" i="1"/>
  <c r="X3" i="1"/>
  <c r="W10" i="1"/>
  <c r="Z16" i="1"/>
  <c r="T20" i="1"/>
  <c r="U23" i="1"/>
  <c r="W26" i="1"/>
  <c r="W49" i="1"/>
  <c r="W61" i="1"/>
  <c r="W73" i="1"/>
  <c r="V78" i="1"/>
  <c r="V3" i="1"/>
  <c r="Y10" i="1"/>
  <c r="Y13" i="1"/>
  <c r="U20" i="1"/>
  <c r="V23" i="1"/>
  <c r="Y26" i="1"/>
  <c r="Y33" i="1"/>
  <c r="Y3" i="1"/>
  <c r="V2" i="1"/>
  <c r="AA3" i="1"/>
  <c r="Z10" i="1"/>
  <c r="Z13" i="1"/>
  <c r="V17" i="1"/>
  <c r="V20" i="1"/>
  <c r="W23" i="1"/>
  <c r="Z26" i="1"/>
  <c r="Y29" i="1"/>
  <c r="W17" i="1"/>
  <c r="W20" i="1"/>
  <c r="Y23" i="1"/>
  <c r="T7" i="1"/>
  <c r="U5" i="1"/>
  <c r="W2" i="1"/>
  <c r="X17" i="1"/>
  <c r="X20" i="1"/>
  <c r="W57" i="1"/>
  <c r="W69" i="1"/>
  <c r="T80" i="1"/>
  <c r="X2" i="1"/>
  <c r="Y2" i="1"/>
  <c r="W6" i="1"/>
  <c r="Y20" i="1"/>
  <c r="T30" i="1"/>
  <c r="T46" i="1"/>
  <c r="Z2" i="1"/>
  <c r="U4" i="1"/>
  <c r="Y6" i="1"/>
  <c r="T12" i="1"/>
  <c r="U15" i="1"/>
  <c r="W18" i="1"/>
  <c r="Z24" i="1"/>
  <c r="V30" i="1"/>
  <c r="V46" i="1"/>
  <c r="AA2" i="1"/>
  <c r="U12" i="1"/>
  <c r="AA44" i="1"/>
  <c r="W44" i="1"/>
  <c r="Y31" i="1"/>
  <c r="Z37" i="1"/>
  <c r="Z38" i="1"/>
  <c r="V42" i="1"/>
  <c r="T44" i="1"/>
  <c r="AA45" i="1"/>
  <c r="Y47" i="1"/>
  <c r="X49" i="1"/>
  <c r="Y51" i="1"/>
  <c r="X53" i="1"/>
  <c r="Y55" i="1"/>
  <c r="X57" i="1"/>
  <c r="Y59" i="1"/>
  <c r="X61" i="1"/>
  <c r="Y63" i="1"/>
  <c r="X65" i="1"/>
  <c r="Y67" i="1"/>
  <c r="X69" i="1"/>
  <c r="Y71" i="1"/>
  <c r="X73" i="1"/>
  <c r="Y75" i="1"/>
  <c r="AA77" i="1"/>
  <c r="U80" i="1"/>
  <c r="AA35" i="1"/>
  <c r="Y5" i="1"/>
  <c r="V5" i="1"/>
  <c r="T9" i="1"/>
  <c r="T17" i="1"/>
  <c r="T25" i="1"/>
  <c r="X30" i="1"/>
  <c r="U30" i="1"/>
  <c r="Z31" i="1"/>
  <c r="AA38" i="1"/>
  <c r="Y40" i="1"/>
  <c r="W42" i="1"/>
  <c r="U44" i="1"/>
  <c r="X46" i="1"/>
  <c r="U46" i="1"/>
  <c r="Z47" i="1"/>
  <c r="Y49" i="1"/>
  <c r="Z51" i="1"/>
  <c r="Y53" i="1"/>
  <c r="Z55" i="1"/>
  <c r="Y57" i="1"/>
  <c r="Z59" i="1"/>
  <c r="Y61" i="1"/>
  <c r="Z63" i="1"/>
  <c r="Y65" i="1"/>
  <c r="Z67" i="1"/>
  <c r="Y69" i="1"/>
  <c r="Z71" i="1"/>
  <c r="Y73" i="1"/>
  <c r="AA76" i="1"/>
  <c r="Z76" i="1"/>
  <c r="W76" i="1"/>
  <c r="X78" i="1"/>
  <c r="W78" i="1"/>
  <c r="U78" i="1"/>
  <c r="T78" i="1"/>
  <c r="V80" i="1"/>
  <c r="AA39" i="1"/>
  <c r="T14" i="1"/>
  <c r="AA19" i="1"/>
  <c r="X19" i="1"/>
  <c r="T22" i="1"/>
  <c r="AA27" i="1"/>
  <c r="X27" i="1"/>
  <c r="T32" i="1"/>
  <c r="Y35" i="1"/>
  <c r="U41" i="1"/>
  <c r="Z41" i="1"/>
  <c r="X44" i="1"/>
  <c r="X50" i="1"/>
  <c r="U50" i="1"/>
  <c r="T50" i="1"/>
  <c r="T52" i="1"/>
  <c r="X54" i="1"/>
  <c r="U54" i="1"/>
  <c r="T54" i="1"/>
  <c r="T56" i="1"/>
  <c r="X58" i="1"/>
  <c r="U58" i="1"/>
  <c r="T58" i="1"/>
  <c r="X62" i="1"/>
  <c r="U62" i="1"/>
  <c r="T62" i="1"/>
  <c r="T64" i="1"/>
  <c r="X66" i="1"/>
  <c r="U66" i="1"/>
  <c r="T66" i="1"/>
  <c r="T68" i="1"/>
  <c r="X70" i="1"/>
  <c r="U70" i="1"/>
  <c r="T70" i="1"/>
  <c r="T72" i="1"/>
  <c r="X74" i="1"/>
  <c r="U74" i="1"/>
  <c r="T74" i="1"/>
  <c r="U76" i="1"/>
  <c r="Y78" i="1"/>
  <c r="Y80" i="1"/>
  <c r="AA48" i="1"/>
  <c r="Z48" i="1"/>
  <c r="W48" i="1"/>
  <c r="AA60" i="1"/>
  <c r="Z60" i="1"/>
  <c r="W60" i="1"/>
  <c r="V22" i="1"/>
  <c r="U81" i="1"/>
  <c r="T81" i="1"/>
  <c r="Z81" i="1"/>
  <c r="W4" i="1"/>
  <c r="T4" i="1"/>
  <c r="X5" i="1"/>
  <c r="Z7" i="1"/>
  <c r="V8" i="1"/>
  <c r="Y9" i="1"/>
  <c r="U11" i="1"/>
  <c r="W14" i="1"/>
  <c r="T16" i="1"/>
  <c r="Y17" i="1"/>
  <c r="U19" i="1"/>
  <c r="W22" i="1"/>
  <c r="T24" i="1"/>
  <c r="Y25" i="1"/>
  <c r="U27" i="1"/>
  <c r="Z28" i="1"/>
  <c r="Y30" i="1"/>
  <c r="V32" i="1"/>
  <c r="AA36" i="1"/>
  <c r="Y37" i="1"/>
  <c r="V41" i="1"/>
  <c r="AA43" i="1"/>
  <c r="X43" i="1"/>
  <c r="T43" i="1"/>
  <c r="Z44" i="1"/>
  <c r="Y46" i="1"/>
  <c r="V48" i="1"/>
  <c r="W50" i="1"/>
  <c r="V52" i="1"/>
  <c r="W54" i="1"/>
  <c r="V56" i="1"/>
  <c r="W58" i="1"/>
  <c r="V60" i="1"/>
  <c r="W62" i="1"/>
  <c r="V64" i="1"/>
  <c r="W66" i="1"/>
  <c r="V68" i="1"/>
  <c r="W70" i="1"/>
  <c r="V72" i="1"/>
  <c r="W74" i="1"/>
  <c r="X76" i="1"/>
  <c r="AA78" i="1"/>
  <c r="V81" i="1"/>
  <c r="Z9" i="1"/>
  <c r="V11" i="1"/>
  <c r="U13" i="1"/>
  <c r="Y14" i="1"/>
  <c r="U16" i="1"/>
  <c r="Z17" i="1"/>
  <c r="V19" i="1"/>
  <c r="U21" i="1"/>
  <c r="Y22" i="1"/>
  <c r="U24" i="1"/>
  <c r="Z25" i="1"/>
  <c r="V27" i="1"/>
  <c r="U29" i="1"/>
  <c r="Z29" i="1"/>
  <c r="Z30" i="1"/>
  <c r="X32" i="1"/>
  <c r="AA37" i="1"/>
  <c r="Y39" i="1"/>
  <c r="W41" i="1"/>
  <c r="U43" i="1"/>
  <c r="U45" i="1"/>
  <c r="Z45" i="1"/>
  <c r="Z46" i="1"/>
  <c r="X48" i="1"/>
  <c r="Y50" i="1"/>
  <c r="X52" i="1"/>
  <c r="Y54" i="1"/>
  <c r="X56" i="1"/>
  <c r="Y58" i="1"/>
  <c r="X60" i="1"/>
  <c r="Y62" i="1"/>
  <c r="X64" i="1"/>
  <c r="Y66" i="1"/>
  <c r="X68" i="1"/>
  <c r="Y70" i="1"/>
  <c r="X72" i="1"/>
  <c r="Y74" i="1"/>
  <c r="Y76" i="1"/>
  <c r="AA79" i="1"/>
  <c r="Z79" i="1"/>
  <c r="X79" i="1"/>
  <c r="W79" i="1"/>
  <c r="T79" i="1"/>
  <c r="W81" i="1"/>
  <c r="Z35" i="1"/>
  <c r="V4" i="1"/>
  <c r="AA5" i="1"/>
  <c r="U7" i="1"/>
  <c r="X8" i="1"/>
  <c r="AA9" i="1"/>
  <c r="W11" i="1"/>
  <c r="T13" i="1"/>
  <c r="Z14" i="1"/>
  <c r="V16" i="1"/>
  <c r="AA17" i="1"/>
  <c r="W19" i="1"/>
  <c r="T21" i="1"/>
  <c r="V24" i="1"/>
  <c r="AA25" i="1"/>
  <c r="W27" i="1"/>
  <c r="T29" i="1"/>
  <c r="AA30" i="1"/>
  <c r="Y32" i="1"/>
  <c r="Z39" i="1"/>
  <c r="X41" i="1"/>
  <c r="V43" i="1"/>
  <c r="T45" i="1"/>
  <c r="AA46" i="1"/>
  <c r="Y48" i="1"/>
  <c r="Z50" i="1"/>
  <c r="Z54" i="1"/>
  <c r="Z58" i="1"/>
  <c r="Y60" i="1"/>
  <c r="Z62" i="1"/>
  <c r="Z66" i="1"/>
  <c r="Y68" i="1"/>
  <c r="Z70" i="1"/>
  <c r="Z74" i="1"/>
  <c r="U77" i="1"/>
  <c r="T77" i="1"/>
  <c r="Z77" i="1"/>
  <c r="U79" i="1"/>
  <c r="X81" i="1"/>
  <c r="X22" i="1"/>
  <c r="U22" i="1"/>
  <c r="AA52" i="1"/>
  <c r="Z52" i="1"/>
  <c r="W52" i="1"/>
  <c r="V14" i="1"/>
  <c r="U48" i="1"/>
  <c r="U52" i="1"/>
  <c r="U60" i="1"/>
  <c r="T3" i="1"/>
  <c r="X4" i="1"/>
  <c r="V7" i="1"/>
  <c r="Y8" i="1"/>
  <c r="X10" i="1"/>
  <c r="U10" i="1"/>
  <c r="Y11" i="1"/>
  <c r="V13" i="1"/>
  <c r="W16" i="1"/>
  <c r="X18" i="1"/>
  <c r="U18" i="1"/>
  <c r="Y19" i="1"/>
  <c r="V21" i="1"/>
  <c r="AA22" i="1"/>
  <c r="W24" i="1"/>
  <c r="X26" i="1"/>
  <c r="U26" i="1"/>
  <c r="Y27" i="1"/>
  <c r="V29" i="1"/>
  <c r="AA31" i="1"/>
  <c r="X31" i="1"/>
  <c r="T31" i="1"/>
  <c r="Y34" i="1"/>
  <c r="AA40" i="1"/>
  <c r="Y41" i="1"/>
  <c r="W43" i="1"/>
  <c r="V45" i="1"/>
  <c r="AA47" i="1"/>
  <c r="X47" i="1"/>
  <c r="T47" i="1"/>
  <c r="U49" i="1"/>
  <c r="Z49" i="1"/>
  <c r="AA50" i="1"/>
  <c r="U53" i="1"/>
  <c r="Z53" i="1"/>
  <c r="AA54" i="1"/>
  <c r="U57" i="1"/>
  <c r="Z57" i="1"/>
  <c r="AA58" i="1"/>
  <c r="U61" i="1"/>
  <c r="Z61" i="1"/>
  <c r="AA62" i="1"/>
  <c r="U65" i="1"/>
  <c r="Z65" i="1"/>
  <c r="AA66" i="1"/>
  <c r="U69" i="1"/>
  <c r="Z69" i="1"/>
  <c r="AA70" i="1"/>
  <c r="U73" i="1"/>
  <c r="Z73" i="1"/>
  <c r="AA74" i="1"/>
  <c r="V77" i="1"/>
  <c r="V79" i="1"/>
  <c r="Y81" i="1"/>
  <c r="X14" i="1"/>
  <c r="U14" i="1"/>
  <c r="AA32" i="1"/>
  <c r="W32" i="1"/>
  <c r="AA56" i="1"/>
  <c r="Z56" i="1"/>
  <c r="W56" i="1"/>
  <c r="AA68" i="1"/>
  <c r="Z68" i="1"/>
  <c r="W68" i="1"/>
  <c r="T19" i="1"/>
  <c r="U32" i="1"/>
  <c r="U56" i="1"/>
  <c r="U3" i="1"/>
  <c r="Y4" i="1"/>
  <c r="AA6" i="1"/>
  <c r="X6" i="1"/>
  <c r="W7" i="1"/>
  <c r="Z8" i="1"/>
  <c r="T10" i="1"/>
  <c r="W13" i="1"/>
  <c r="AA15" i="1"/>
  <c r="X15" i="1"/>
  <c r="X16" i="1"/>
  <c r="T18" i="1"/>
  <c r="Z19" i="1"/>
  <c r="W21" i="1"/>
  <c r="AA23" i="1"/>
  <c r="X23" i="1"/>
  <c r="X24" i="1"/>
  <c r="T26" i="1"/>
  <c r="Z27" i="1"/>
  <c r="W29" i="1"/>
  <c r="U31" i="1"/>
  <c r="Z33" i="1"/>
  <c r="Z34" i="1"/>
  <c r="AA41" i="1"/>
  <c r="Y43" i="1"/>
  <c r="W45" i="1"/>
  <c r="U47" i="1"/>
  <c r="T49" i="1"/>
  <c r="AA51" i="1"/>
  <c r="X51" i="1"/>
  <c r="W51" i="1"/>
  <c r="T51" i="1"/>
  <c r="T53" i="1"/>
  <c r="AA55" i="1"/>
  <c r="X55" i="1"/>
  <c r="W55" i="1"/>
  <c r="T55" i="1"/>
  <c r="T57" i="1"/>
  <c r="AA59" i="1"/>
  <c r="X59" i="1"/>
  <c r="W59" i="1"/>
  <c r="T59" i="1"/>
  <c r="T61" i="1"/>
  <c r="AA63" i="1"/>
  <c r="X63" i="1"/>
  <c r="W63" i="1"/>
  <c r="T63" i="1"/>
  <c r="T65" i="1"/>
  <c r="AA67" i="1"/>
  <c r="X67" i="1"/>
  <c r="W67" i="1"/>
  <c r="T67" i="1"/>
  <c r="T69" i="1"/>
  <c r="AA71" i="1"/>
  <c r="X71" i="1"/>
  <c r="W71" i="1"/>
  <c r="T71" i="1"/>
  <c r="T73" i="1"/>
  <c r="AA75" i="1"/>
  <c r="Z75" i="1"/>
  <c r="X75" i="1"/>
  <c r="W75" i="1"/>
  <c r="T75" i="1"/>
  <c r="W77" i="1"/>
  <c r="Y79" i="1"/>
  <c r="AA81" i="1"/>
  <c r="V44" i="1"/>
  <c r="AA64" i="1"/>
  <c r="Z64" i="1"/>
  <c r="W64" i="1"/>
  <c r="AA72" i="1"/>
  <c r="Z72" i="1"/>
  <c r="W72" i="1"/>
  <c r="AA11" i="1"/>
  <c r="X11" i="1"/>
  <c r="T11" i="1"/>
  <c r="Y44" i="1"/>
  <c r="U64" i="1"/>
  <c r="U72" i="1"/>
  <c r="Z5" i="1"/>
  <c r="T2" i="1"/>
  <c r="W3" i="1"/>
  <c r="Z4" i="1"/>
  <c r="T6" i="1"/>
  <c r="X7" i="1"/>
  <c r="AA8" i="1"/>
  <c r="V10" i="1"/>
  <c r="AA12" i="1"/>
  <c r="X13" i="1"/>
  <c r="T15" i="1"/>
  <c r="Y16" i="1"/>
  <c r="V18" i="1"/>
  <c r="AA20" i="1"/>
  <c r="X21" i="1"/>
  <c r="T23" i="1"/>
  <c r="Y24" i="1"/>
  <c r="V26" i="1"/>
  <c r="AA28" i="1"/>
  <c r="X29" i="1"/>
  <c r="V31" i="1"/>
  <c r="AA34" i="1"/>
  <c r="Y36" i="1"/>
  <c r="X42" i="1"/>
  <c r="U42" i="1"/>
  <c r="Z43" i="1"/>
  <c r="X45" i="1"/>
  <c r="V47" i="1"/>
  <c r="V49" i="1"/>
  <c r="U51" i="1"/>
  <c r="V53" i="1"/>
  <c r="U55" i="1"/>
  <c r="V57" i="1"/>
  <c r="U59" i="1"/>
  <c r="V61" i="1"/>
  <c r="U63" i="1"/>
  <c r="V65" i="1"/>
  <c r="U67" i="1"/>
  <c r="V69" i="1"/>
  <c r="U71" i="1"/>
  <c r="V73" i="1"/>
  <c r="U75" i="1"/>
  <c r="X77" i="1"/>
  <c r="AA80" i="1"/>
  <c r="Z80" i="1"/>
  <c r="W80" i="1"/>
  <c r="AA82" i="1"/>
  <c r="Z82" i="1"/>
  <c r="Y82" i="1"/>
  <c r="X82" i="1"/>
  <c r="W82" i="1"/>
  <c r="V82" i="1"/>
  <c r="U82" i="1"/>
  <c r="T82" i="1"/>
  <c r="C20" i="1"/>
</calcChain>
</file>

<file path=xl/sharedStrings.xml><?xml version="1.0" encoding="utf-8"?>
<sst xmlns="http://schemas.openxmlformats.org/spreadsheetml/2006/main" count="36" uniqueCount="32">
  <si>
    <t>promien kola w cm</t>
  </si>
  <si>
    <t>obw kola</t>
  </si>
  <si>
    <t>zeby tyl</t>
  </si>
  <si>
    <t>zeby przod</t>
  </si>
  <si>
    <t>przelozenia</t>
  </si>
  <si>
    <t>obr/s</t>
  </si>
  <si>
    <t>OBROTY</t>
  </si>
  <si>
    <t>Suma końcowa</t>
  </si>
  <si>
    <t>obr/min</t>
  </si>
  <si>
    <t>PRZELOZENIE 3,17</t>
  </si>
  <si>
    <t>PRZELOZENIE 2,71</t>
  </si>
  <si>
    <t>PRZELOZENIE  2,38</t>
  </si>
  <si>
    <t>PRZELOZENIE  2,11</t>
  </si>
  <si>
    <t>PRZELOZENIE  1,81</t>
  </si>
  <si>
    <t>PRZELOZENIE  1,58</t>
  </si>
  <si>
    <t>PRZELOZENIE  1,36</t>
  </si>
  <si>
    <t>PRZELOZENIE 1,19</t>
  </si>
  <si>
    <t>RPM</t>
  </si>
  <si>
    <t>Wartości</t>
  </si>
  <si>
    <t>Nm.m</t>
  </si>
  <si>
    <t>HP</t>
  </si>
  <si>
    <t>MOMENT OBROTOWY lbft</t>
  </si>
  <si>
    <t>waga</t>
  </si>
  <si>
    <t>Przelozenie</t>
  </si>
  <si>
    <t>zał przyspieszenie m/s</t>
  </si>
  <si>
    <t>zał. Predkosc m/s</t>
  </si>
  <si>
    <t>potrzebna sila do przyspieszenia N</t>
  </si>
  <si>
    <t>Potrzebna sila Nm</t>
  </si>
  <si>
    <t>czas w sekundach</t>
  </si>
  <si>
    <t>predkosc w m/s</t>
  </si>
  <si>
    <t>predkosc w km/h</t>
  </si>
  <si>
    <t>przyspieszenie w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</si>
</sst>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_-* #,##0.00\ _z_ł_-;\-* #,##0.00\ _z_ł_-;_-* &quot;-&quot;??\ _z_ł_-;_-@_-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1"/>
      <color rgb="FF006100"/>
      <name val="Arial"/>
      <family val="2"/>
      <charset val="238"/>
      <scheme val="minor"/>
    </font>
    <font>
      <sz val="11"/>
      <color rgb="FF9C5700"/>
      <name val="Arial"/>
      <family val="2"/>
      <charset val="238"/>
      <scheme val="minor"/>
    </font>
    <font>
      <sz val="11"/>
      <color theme="0"/>
      <name val="Arial"/>
      <family val="2"/>
      <charset val="238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351C75"/>
        <bgColor rgb="FF351C75"/>
      </patternFill>
    </fill>
    <fill>
      <patternFill patternType="solid">
        <fgColor rgb="FF741B47"/>
        <bgColor rgb="FF741B47"/>
      </patternFill>
    </fill>
    <fill>
      <patternFill patternType="solid">
        <fgColor rgb="FF00FFFF"/>
        <bgColor rgb="FF00FFFF"/>
      </patternFill>
    </fill>
    <fill>
      <patternFill patternType="solid">
        <fgColor theme="5"/>
        <bgColor theme="5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rgb="FF00FFFF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0" fontId="5" fillId="22" borderId="0" applyNumberFormat="0" applyBorder="0" applyAlignment="0" applyProtection="0"/>
    <xf numFmtId="0" fontId="6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</cellStyleXfs>
  <cellXfs count="53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2" fontId="1" fillId="8" borderId="0" xfId="0" applyNumberFormat="1" applyFont="1" applyFill="1" applyAlignment="1"/>
    <xf numFmtId="0" fontId="1" fillId="9" borderId="0" xfId="0" applyFont="1" applyFill="1" applyAlignment="1"/>
    <xf numFmtId="0" fontId="1" fillId="10" borderId="0" xfId="0" applyFont="1" applyFill="1" applyAlignment="1"/>
    <xf numFmtId="0" fontId="1" fillId="11" borderId="0" xfId="0" applyFont="1" applyFill="1" applyAlignment="1"/>
    <xf numFmtId="0" fontId="1" fillId="12" borderId="0" xfId="0" applyFont="1" applyFill="1" applyAlignment="1"/>
    <xf numFmtId="0" fontId="1" fillId="13" borderId="0" xfId="0" applyFont="1" applyFill="1" applyAlignment="1"/>
    <xf numFmtId="0" fontId="1" fillId="14" borderId="0" xfId="0" applyFont="1" applyFill="1" applyAlignment="1"/>
    <xf numFmtId="0" fontId="1" fillId="15" borderId="0" xfId="0" applyFont="1" applyFill="1" applyAlignment="1"/>
    <xf numFmtId="0" fontId="1" fillId="16" borderId="0" xfId="0" applyFont="1" applyFill="1" applyAlignment="1"/>
    <xf numFmtId="2" fontId="1" fillId="0" borderId="0" xfId="0" applyNumberFormat="1" applyFont="1"/>
    <xf numFmtId="2" fontId="1" fillId="7" borderId="0" xfId="0" applyNumberFormat="1" applyFont="1" applyFill="1" applyAlignment="1"/>
    <xf numFmtId="164" fontId="1" fillId="0" borderId="0" xfId="0" applyNumberFormat="1" applyFont="1"/>
    <xf numFmtId="0" fontId="1" fillId="0" borderId="0" xfId="0" applyFont="1" applyAlignment="1"/>
    <xf numFmtId="2" fontId="1" fillId="17" borderId="0" xfId="0" applyNumberFormat="1" applyFont="1" applyFill="1"/>
    <xf numFmtId="164" fontId="1" fillId="17" borderId="0" xfId="0" applyNumberFormat="1" applyFont="1" applyFill="1"/>
    <xf numFmtId="2" fontId="1" fillId="18" borderId="0" xfId="0" applyNumberFormat="1" applyFont="1" applyFill="1"/>
    <xf numFmtId="164" fontId="1" fillId="18" borderId="0" xfId="0" applyNumberFormat="1" applyFont="1" applyFill="1"/>
    <xf numFmtId="0" fontId="1" fillId="0" borderId="0" xfId="0" applyFont="1" applyFill="1"/>
    <xf numFmtId="0" fontId="0" fillId="0" borderId="0" xfId="0" applyFont="1" applyFill="1" applyAlignment="1"/>
    <xf numFmtId="0" fontId="1" fillId="19" borderId="0" xfId="0" applyFont="1" applyFill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0" borderId="0" xfId="0" applyFont="1" applyAlignment="1">
      <alignment horizontal="left"/>
    </xf>
    <xf numFmtId="43" fontId="0" fillId="0" borderId="0" xfId="1" applyFont="1" applyAlignment="1"/>
    <xf numFmtId="165" fontId="1" fillId="0" borderId="0" xfId="1" applyNumberFormat="1" applyFont="1" applyAlignment="1"/>
    <xf numFmtId="165" fontId="0" fillId="0" borderId="0" xfId="1" applyNumberFormat="1" applyFont="1" applyAlignment="1"/>
    <xf numFmtId="0" fontId="0" fillId="20" borderId="0" xfId="0" applyFont="1" applyFill="1" applyAlignment="1"/>
    <xf numFmtId="0" fontId="4" fillId="2" borderId="0" xfId="0" applyFont="1" applyFill="1" applyAlignment="1"/>
    <xf numFmtId="0" fontId="3" fillId="21" borderId="0" xfId="0" applyFont="1" applyFill="1" applyAlignment="1"/>
    <xf numFmtId="166" fontId="0" fillId="0" borderId="0" xfId="0" applyNumberFormat="1" applyFont="1" applyAlignment="1"/>
    <xf numFmtId="0" fontId="0" fillId="18" borderId="0" xfId="0" applyFont="1" applyFill="1" applyAlignment="1"/>
    <xf numFmtId="0" fontId="5" fillId="22" borderId="0" xfId="2" applyAlignment="1"/>
    <xf numFmtId="0" fontId="7" fillId="27" borderId="0" xfId="7"/>
    <xf numFmtId="43" fontId="7" fillId="24" borderId="0" xfId="4" applyNumberFormat="1" applyAlignment="1"/>
    <xf numFmtId="165" fontId="7" fillId="27" borderId="0" xfId="7" applyNumberFormat="1" applyAlignment="1"/>
    <xf numFmtId="166" fontId="7" fillId="26" borderId="0" xfId="6" applyNumberFormat="1" applyAlignment="1"/>
    <xf numFmtId="2" fontId="0" fillId="0" borderId="0" xfId="0" applyNumberFormat="1" applyFont="1" applyAlignment="1"/>
    <xf numFmtId="0" fontId="7" fillId="25" borderId="0" xfId="5" applyAlignment="1"/>
    <xf numFmtId="0" fontId="7" fillId="28" borderId="0" xfId="8" applyAlignment="1"/>
    <xf numFmtId="2" fontId="0" fillId="0" borderId="0" xfId="0" applyNumberFormat="1" applyFont="1" applyFill="1" applyAlignment="1"/>
    <xf numFmtId="2" fontId="0" fillId="29" borderId="0" xfId="0" applyNumberFormat="1" applyFont="1" applyFill="1" applyAlignment="1"/>
    <xf numFmtId="0" fontId="7" fillId="26" borderId="0" xfId="6" applyAlignment="1"/>
    <xf numFmtId="43" fontId="3" fillId="0" borderId="0" xfId="1" applyFont="1" applyAlignment="1"/>
    <xf numFmtId="0" fontId="6" fillId="23" borderId="0" xfId="3" applyAlignment="1"/>
    <xf numFmtId="0" fontId="7" fillId="25" borderId="1" xfId="5" applyBorder="1" applyAlignment="1"/>
    <xf numFmtId="0" fontId="7" fillId="27" borderId="0" xfId="7" applyAlignment="1"/>
  </cellXfs>
  <cellStyles count="9">
    <cellStyle name="Akcent 1" xfId="4" builtinId="29"/>
    <cellStyle name="Akcent 2" xfId="5" builtinId="33"/>
    <cellStyle name="Akcent 3" xfId="6" builtinId="37"/>
    <cellStyle name="Akcent 4" xfId="7" builtinId="41"/>
    <cellStyle name="Akcent 5" xfId="8" builtinId="45"/>
    <cellStyle name="Dobry" xfId="2" builtinId="26"/>
    <cellStyle name="Dziesiętny" xfId="1" builtinId="3"/>
    <cellStyle name="Neutralny" xfId="3" builtinId="2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[kosiarka.xlsx]Wykres predkosci do obrotow!Tabela przestawna2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'Wykres predkosci do obrotow'!$C$1:$C$2</c:f>
              <c:strCache>
                <c:ptCount val="1"/>
                <c:pt idx="0">
                  <c:v>PRZELOZENIE 3,17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'Wykres predkosci do obrotow'!$B$3:$B$84</c:f>
              <c:strCache>
                <c:ptCount val="8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</c:strCache>
            </c:strRef>
          </c:cat>
          <c:val>
            <c:numRef>
              <c:f>'Wykres predkosci do obrotow'!$C$3:$C$84</c:f>
              <c:numCache>
                <c:formatCode>General</c:formatCode>
                <c:ptCount val="81"/>
                <c:pt idx="0">
                  <c:v>0</c:v>
                </c:pt>
                <c:pt idx="1">
                  <c:v>1.7829652996845426</c:v>
                </c:pt>
                <c:pt idx="2">
                  <c:v>3.5659305993690853</c:v>
                </c:pt>
                <c:pt idx="3">
                  <c:v>5.3488958990536277</c:v>
                </c:pt>
                <c:pt idx="4">
                  <c:v>7.1318611987381706</c:v>
                </c:pt>
                <c:pt idx="5">
                  <c:v>8.9148264984227144</c:v>
                </c:pt>
                <c:pt idx="6">
                  <c:v>10.697791798107255</c:v>
                </c:pt>
                <c:pt idx="7">
                  <c:v>12.480757097791798</c:v>
                </c:pt>
                <c:pt idx="8">
                  <c:v>14.263722397476341</c:v>
                </c:pt>
                <c:pt idx="9">
                  <c:v>16.046687697160884</c:v>
                </c:pt>
                <c:pt idx="10">
                  <c:v>17.829652996845429</c:v>
                </c:pt>
                <c:pt idx="11">
                  <c:v>19.612618296529966</c:v>
                </c:pt>
                <c:pt idx="12">
                  <c:v>21.395583596214511</c:v>
                </c:pt>
                <c:pt idx="13">
                  <c:v>23.178548895899059</c:v>
                </c:pt>
                <c:pt idx="14">
                  <c:v>24.961514195583597</c:v>
                </c:pt>
                <c:pt idx="15">
                  <c:v>26.744479495268141</c:v>
                </c:pt>
                <c:pt idx="16">
                  <c:v>28.527444794952682</c:v>
                </c:pt>
                <c:pt idx="17">
                  <c:v>30.310410094637227</c:v>
                </c:pt>
                <c:pt idx="18">
                  <c:v>32.093375394321768</c:v>
                </c:pt>
                <c:pt idx="19">
                  <c:v>33.876340694006309</c:v>
                </c:pt>
                <c:pt idx="20">
                  <c:v>35.659305993690857</c:v>
                </c:pt>
                <c:pt idx="21">
                  <c:v>37.442271293375391</c:v>
                </c:pt>
                <c:pt idx="22">
                  <c:v>39.225236593059932</c:v>
                </c:pt>
                <c:pt idx="23">
                  <c:v>41.008201892744495</c:v>
                </c:pt>
                <c:pt idx="24">
                  <c:v>42.791167192429022</c:v>
                </c:pt>
                <c:pt idx="25">
                  <c:v>44.57413249211357</c:v>
                </c:pt>
                <c:pt idx="26">
                  <c:v>46.357097791798118</c:v>
                </c:pt>
                <c:pt idx="27">
                  <c:v>48.140063091482652</c:v>
                </c:pt>
                <c:pt idx="28">
                  <c:v>49.923028391167193</c:v>
                </c:pt>
                <c:pt idx="29">
                  <c:v>51.705993690851749</c:v>
                </c:pt>
                <c:pt idx="30">
                  <c:v>53.488958990536283</c:v>
                </c:pt>
                <c:pt idx="31">
                  <c:v>55.271924290220824</c:v>
                </c:pt>
                <c:pt idx="32">
                  <c:v>57.054889589905365</c:v>
                </c:pt>
                <c:pt idx="33">
                  <c:v>58.837854889589913</c:v>
                </c:pt>
                <c:pt idx="34">
                  <c:v>60.620820189274454</c:v>
                </c:pt>
                <c:pt idx="35">
                  <c:v>62.403785488959002</c:v>
                </c:pt>
                <c:pt idx="36">
                  <c:v>64.186750788643536</c:v>
                </c:pt>
                <c:pt idx="37">
                  <c:v>65.969716088328084</c:v>
                </c:pt>
                <c:pt idx="38">
                  <c:v>67.752681388012618</c:v>
                </c:pt>
                <c:pt idx="39">
                  <c:v>69.535646687697167</c:v>
                </c:pt>
                <c:pt idx="40">
                  <c:v>71.318611987381715</c:v>
                </c:pt>
                <c:pt idx="41">
                  <c:v>73.101577287066263</c:v>
                </c:pt>
                <c:pt idx="42">
                  <c:v>74.884542586750783</c:v>
                </c:pt>
                <c:pt idx="43">
                  <c:v>76.667507886435345</c:v>
                </c:pt>
                <c:pt idx="44">
                  <c:v>78.450473186119865</c:v>
                </c:pt>
                <c:pt idx="45">
                  <c:v>80.233438485804427</c:v>
                </c:pt>
                <c:pt idx="46">
                  <c:v>82.01640378548899</c:v>
                </c:pt>
                <c:pt idx="47">
                  <c:v>83.79936908517351</c:v>
                </c:pt>
                <c:pt idx="48">
                  <c:v>85.582334384858044</c:v>
                </c:pt>
                <c:pt idx="49">
                  <c:v>87.365299684542606</c:v>
                </c:pt>
                <c:pt idx="50">
                  <c:v>89.14826498422714</c:v>
                </c:pt>
                <c:pt idx="51">
                  <c:v>90.931230283911674</c:v>
                </c:pt>
                <c:pt idx="52">
                  <c:v>92.714195583596236</c:v>
                </c:pt>
                <c:pt idx="53">
                  <c:v>94.497160883280756</c:v>
                </c:pt>
                <c:pt idx="54">
                  <c:v>96.280126182965304</c:v>
                </c:pt>
                <c:pt idx="55">
                  <c:v>98.063091482649853</c:v>
                </c:pt>
                <c:pt idx="56">
                  <c:v>99.846056782334387</c:v>
                </c:pt>
                <c:pt idx="57">
                  <c:v>101.62902208201895</c:v>
                </c:pt>
                <c:pt idx="58">
                  <c:v>103.4119873817035</c:v>
                </c:pt>
                <c:pt idx="59">
                  <c:v>105.19495268138802</c:v>
                </c:pt>
                <c:pt idx="60">
                  <c:v>106.97791798107257</c:v>
                </c:pt>
                <c:pt idx="61">
                  <c:v>108.76088328075711</c:v>
                </c:pt>
                <c:pt idx="62">
                  <c:v>110.54384858044165</c:v>
                </c:pt>
                <c:pt idx="63">
                  <c:v>112.3268138801262</c:v>
                </c:pt>
                <c:pt idx="64">
                  <c:v>114.10977917981073</c:v>
                </c:pt>
                <c:pt idx="65">
                  <c:v>115.89274447949526</c:v>
                </c:pt>
                <c:pt idx="66">
                  <c:v>117.67570977917983</c:v>
                </c:pt>
                <c:pt idx="67">
                  <c:v>119.45867507886436</c:v>
                </c:pt>
                <c:pt idx="68">
                  <c:v>121.24164037854891</c:v>
                </c:pt>
                <c:pt idx="69">
                  <c:v>123.02460567823346</c:v>
                </c:pt>
                <c:pt idx="70">
                  <c:v>124.807570977918</c:v>
                </c:pt>
                <c:pt idx="71">
                  <c:v>126.59053627760254</c:v>
                </c:pt>
                <c:pt idx="72">
                  <c:v>128.37350157728707</c:v>
                </c:pt>
                <c:pt idx="73">
                  <c:v>130.15646687697162</c:v>
                </c:pt>
                <c:pt idx="74">
                  <c:v>131.93943217665617</c:v>
                </c:pt>
                <c:pt idx="75">
                  <c:v>133.72239747634072</c:v>
                </c:pt>
                <c:pt idx="76">
                  <c:v>135.50536277602524</c:v>
                </c:pt>
                <c:pt idx="77">
                  <c:v>137.28832807570981</c:v>
                </c:pt>
                <c:pt idx="78">
                  <c:v>139.07129337539433</c:v>
                </c:pt>
                <c:pt idx="79">
                  <c:v>140.85425867507888</c:v>
                </c:pt>
                <c:pt idx="80">
                  <c:v>142.63722397476343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3-4A32-ADF3-C5528F01FC67}"/>
            </c:ext>
          </c:extLst>
        </c:ser>
        <c:ser>
          <c:idx val="1"/>
          <c:order val="1"/>
          <c:tx>
            <c:strRef>
              <c:f>'Wykres predkosci do obrotow'!$D$1:$D$2</c:f>
              <c:strCache>
                <c:ptCount val="1"/>
                <c:pt idx="0">
                  <c:v>PRZELOZENIE 2,71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'Wykres predkosci do obrotow'!$B$3:$B$84</c:f>
              <c:strCache>
                <c:ptCount val="8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</c:strCache>
            </c:strRef>
          </c:cat>
          <c:val>
            <c:numRef>
              <c:f>'Wykres predkosci do obrotow'!$D$3:$D$84</c:f>
              <c:numCache>
                <c:formatCode>General</c:formatCode>
                <c:ptCount val="81"/>
                <c:pt idx="0">
                  <c:v>0</c:v>
                </c:pt>
                <c:pt idx="1">
                  <c:v>2.0856088560885611</c:v>
                </c:pt>
                <c:pt idx="2">
                  <c:v>4.1712177121771221</c:v>
                </c:pt>
                <c:pt idx="3">
                  <c:v>6.2568265682656827</c:v>
                </c:pt>
                <c:pt idx="4">
                  <c:v>8.3424354243542442</c:v>
                </c:pt>
                <c:pt idx="5">
                  <c:v>10.428044280442807</c:v>
                </c:pt>
                <c:pt idx="6">
                  <c:v>12.513653136531365</c:v>
                </c:pt>
                <c:pt idx="7">
                  <c:v>14.599261992619926</c:v>
                </c:pt>
                <c:pt idx="8">
                  <c:v>16.684870848708488</c:v>
                </c:pt>
                <c:pt idx="9">
                  <c:v>18.770479704797047</c:v>
                </c:pt>
                <c:pt idx="10">
                  <c:v>20.856088560885613</c:v>
                </c:pt>
                <c:pt idx="11">
                  <c:v>22.941697416974169</c:v>
                </c:pt>
                <c:pt idx="12">
                  <c:v>25.027306273062731</c:v>
                </c:pt>
                <c:pt idx="13">
                  <c:v>27.112915129151297</c:v>
                </c:pt>
                <c:pt idx="14">
                  <c:v>29.198523985239852</c:v>
                </c:pt>
                <c:pt idx="15">
                  <c:v>31.284132841328415</c:v>
                </c:pt>
                <c:pt idx="16">
                  <c:v>33.369741697416977</c:v>
                </c:pt>
                <c:pt idx="17">
                  <c:v>35.455350553505539</c:v>
                </c:pt>
                <c:pt idx="18">
                  <c:v>37.540959409594095</c:v>
                </c:pt>
                <c:pt idx="19">
                  <c:v>39.626568265682657</c:v>
                </c:pt>
                <c:pt idx="20">
                  <c:v>41.712177121771226</c:v>
                </c:pt>
                <c:pt idx="21">
                  <c:v>43.797785977859775</c:v>
                </c:pt>
                <c:pt idx="22">
                  <c:v>45.883394833948337</c:v>
                </c:pt>
                <c:pt idx="23">
                  <c:v>47.969003690036914</c:v>
                </c:pt>
                <c:pt idx="24">
                  <c:v>50.054612546125462</c:v>
                </c:pt>
                <c:pt idx="25">
                  <c:v>52.140221402214024</c:v>
                </c:pt>
                <c:pt idx="26">
                  <c:v>54.225830258302594</c:v>
                </c:pt>
                <c:pt idx="27">
                  <c:v>56.311439114391149</c:v>
                </c:pt>
                <c:pt idx="28">
                  <c:v>58.397047970479704</c:v>
                </c:pt>
                <c:pt idx="29">
                  <c:v>60.482656826568281</c:v>
                </c:pt>
                <c:pt idx="30">
                  <c:v>62.568265682656829</c:v>
                </c:pt>
                <c:pt idx="31">
                  <c:v>64.653874538745399</c:v>
                </c:pt>
                <c:pt idx="32">
                  <c:v>66.739483394833954</c:v>
                </c:pt>
                <c:pt idx="33">
                  <c:v>68.825092250922523</c:v>
                </c:pt>
                <c:pt idx="34">
                  <c:v>70.910701107011079</c:v>
                </c:pt>
                <c:pt idx="35">
                  <c:v>72.996309963099634</c:v>
                </c:pt>
                <c:pt idx="36">
                  <c:v>75.081918819188189</c:v>
                </c:pt>
                <c:pt idx="37">
                  <c:v>77.167527675276759</c:v>
                </c:pt>
                <c:pt idx="38">
                  <c:v>79.253136531365314</c:v>
                </c:pt>
                <c:pt idx="39">
                  <c:v>81.338745387453883</c:v>
                </c:pt>
                <c:pt idx="40">
                  <c:v>83.424354243542453</c:v>
                </c:pt>
                <c:pt idx="41">
                  <c:v>85.509963099631008</c:v>
                </c:pt>
                <c:pt idx="42">
                  <c:v>87.595571955719549</c:v>
                </c:pt>
                <c:pt idx="43">
                  <c:v>89.681180811808133</c:v>
                </c:pt>
                <c:pt idx="44">
                  <c:v>91.766789667896674</c:v>
                </c:pt>
                <c:pt idx="45">
                  <c:v>93.852398523985258</c:v>
                </c:pt>
                <c:pt idx="46">
                  <c:v>95.938007380073827</c:v>
                </c:pt>
                <c:pt idx="47">
                  <c:v>98.023616236162368</c:v>
                </c:pt>
                <c:pt idx="48">
                  <c:v>100.10922509225092</c:v>
                </c:pt>
                <c:pt idx="49">
                  <c:v>102.19483394833949</c:v>
                </c:pt>
                <c:pt idx="50">
                  <c:v>104.28044280442805</c:v>
                </c:pt>
                <c:pt idx="51">
                  <c:v>106.3660516605166</c:v>
                </c:pt>
                <c:pt idx="52">
                  <c:v>108.45166051660519</c:v>
                </c:pt>
                <c:pt idx="53">
                  <c:v>110.53726937269373</c:v>
                </c:pt>
                <c:pt idx="54">
                  <c:v>112.6228782287823</c:v>
                </c:pt>
                <c:pt idx="55">
                  <c:v>114.70848708487085</c:v>
                </c:pt>
                <c:pt idx="56">
                  <c:v>116.79409594095941</c:v>
                </c:pt>
                <c:pt idx="57">
                  <c:v>118.87970479704799</c:v>
                </c:pt>
                <c:pt idx="58">
                  <c:v>120.96531365313656</c:v>
                </c:pt>
                <c:pt idx="59">
                  <c:v>123.0509225092251</c:v>
                </c:pt>
                <c:pt idx="60">
                  <c:v>125.13653136531366</c:v>
                </c:pt>
                <c:pt idx="61">
                  <c:v>127.22214022140223</c:v>
                </c:pt>
                <c:pt idx="62">
                  <c:v>129.3077490774908</c:v>
                </c:pt>
                <c:pt idx="63">
                  <c:v>131.39335793357935</c:v>
                </c:pt>
                <c:pt idx="64">
                  <c:v>133.47896678966791</c:v>
                </c:pt>
                <c:pt idx="65">
                  <c:v>135.56457564575646</c:v>
                </c:pt>
                <c:pt idx="66">
                  <c:v>137.65018450184505</c:v>
                </c:pt>
                <c:pt idx="67">
                  <c:v>139.7357933579336</c:v>
                </c:pt>
                <c:pt idx="68">
                  <c:v>141.82140221402216</c:v>
                </c:pt>
                <c:pt idx="69">
                  <c:v>143.90701107011071</c:v>
                </c:pt>
                <c:pt idx="70">
                  <c:v>145.99261992619927</c:v>
                </c:pt>
                <c:pt idx="71">
                  <c:v>148.07822878228782</c:v>
                </c:pt>
                <c:pt idx="72">
                  <c:v>150.16383763837638</c:v>
                </c:pt>
                <c:pt idx="73">
                  <c:v>152.24944649446496</c:v>
                </c:pt>
                <c:pt idx="74">
                  <c:v>154.33505535055352</c:v>
                </c:pt>
                <c:pt idx="75">
                  <c:v>156.42066420664207</c:v>
                </c:pt>
                <c:pt idx="76">
                  <c:v>158.50627306273063</c:v>
                </c:pt>
                <c:pt idx="77">
                  <c:v>160.59188191881921</c:v>
                </c:pt>
                <c:pt idx="78">
                  <c:v>162.67749077490777</c:v>
                </c:pt>
                <c:pt idx="79">
                  <c:v>164.76309963099632</c:v>
                </c:pt>
                <c:pt idx="80">
                  <c:v>166.84870848708491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63-4A32-ADF3-C5528F01FC67}"/>
            </c:ext>
          </c:extLst>
        </c:ser>
        <c:ser>
          <c:idx val="2"/>
          <c:order val="2"/>
          <c:tx>
            <c:strRef>
              <c:f>'Wykres predkosci do obrotow'!$E$1:$E$2</c:f>
              <c:strCache>
                <c:ptCount val="1"/>
                <c:pt idx="0">
                  <c:v>PRZELOZENIE  2,38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'Wykres predkosci do obrotow'!$B$3:$B$84</c:f>
              <c:strCache>
                <c:ptCount val="8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</c:strCache>
            </c:strRef>
          </c:cat>
          <c:val>
            <c:numRef>
              <c:f>'Wykres predkosci do obrotow'!$E$3:$E$84</c:f>
              <c:numCache>
                <c:formatCode>General</c:formatCode>
                <c:ptCount val="81"/>
                <c:pt idx="0">
                  <c:v>0</c:v>
                </c:pt>
                <c:pt idx="1">
                  <c:v>2.3747899159663866</c:v>
                </c:pt>
                <c:pt idx="2">
                  <c:v>4.7495798319327731</c:v>
                </c:pt>
                <c:pt idx="3">
                  <c:v>7.1243697478991601</c:v>
                </c:pt>
                <c:pt idx="4">
                  <c:v>9.4991596638655462</c:v>
                </c:pt>
                <c:pt idx="5">
                  <c:v>11.873949579831935</c:v>
                </c:pt>
                <c:pt idx="6">
                  <c:v>14.24873949579832</c:v>
                </c:pt>
                <c:pt idx="7">
                  <c:v>16.623529411764707</c:v>
                </c:pt>
                <c:pt idx="8">
                  <c:v>18.998319327731092</c:v>
                </c:pt>
                <c:pt idx="9">
                  <c:v>21.373109243697481</c:v>
                </c:pt>
                <c:pt idx="10">
                  <c:v>23.74789915966387</c:v>
                </c:pt>
                <c:pt idx="11">
                  <c:v>26.122689075630252</c:v>
                </c:pt>
                <c:pt idx="12">
                  <c:v>28.49747899159664</c:v>
                </c:pt>
                <c:pt idx="13">
                  <c:v>30.872268907563033</c:v>
                </c:pt>
                <c:pt idx="14">
                  <c:v>33.247058823529414</c:v>
                </c:pt>
                <c:pt idx="15">
                  <c:v>35.621848739495803</c:v>
                </c:pt>
                <c:pt idx="16">
                  <c:v>37.996638655462185</c:v>
                </c:pt>
                <c:pt idx="17">
                  <c:v>40.371428571428574</c:v>
                </c:pt>
                <c:pt idx="18">
                  <c:v>42.746218487394962</c:v>
                </c:pt>
                <c:pt idx="19">
                  <c:v>45.121008403361351</c:v>
                </c:pt>
                <c:pt idx="20">
                  <c:v>47.49579831932774</c:v>
                </c:pt>
                <c:pt idx="21">
                  <c:v>49.870588235294115</c:v>
                </c:pt>
                <c:pt idx="22">
                  <c:v>52.245378151260503</c:v>
                </c:pt>
                <c:pt idx="23">
                  <c:v>54.620168067226906</c:v>
                </c:pt>
                <c:pt idx="24">
                  <c:v>56.994957983193281</c:v>
                </c:pt>
                <c:pt idx="25">
                  <c:v>59.36974789915967</c:v>
                </c:pt>
                <c:pt idx="26">
                  <c:v>61.744537815126066</c:v>
                </c:pt>
                <c:pt idx="27">
                  <c:v>64.11932773109244</c:v>
                </c:pt>
                <c:pt idx="28">
                  <c:v>66.494117647058829</c:v>
                </c:pt>
                <c:pt idx="29">
                  <c:v>68.868907563025232</c:v>
                </c:pt>
                <c:pt idx="30">
                  <c:v>71.243697478991606</c:v>
                </c:pt>
                <c:pt idx="31">
                  <c:v>73.618487394957995</c:v>
                </c:pt>
                <c:pt idx="32">
                  <c:v>75.99327731092437</c:v>
                </c:pt>
                <c:pt idx="33">
                  <c:v>78.368067226890773</c:v>
                </c:pt>
                <c:pt idx="34">
                  <c:v>80.742857142857147</c:v>
                </c:pt>
                <c:pt idx="35">
                  <c:v>83.117647058823536</c:v>
                </c:pt>
                <c:pt idx="36">
                  <c:v>85.492436974789925</c:v>
                </c:pt>
                <c:pt idx="37">
                  <c:v>87.867226890756314</c:v>
                </c:pt>
                <c:pt idx="38">
                  <c:v>90.242016806722702</c:v>
                </c:pt>
                <c:pt idx="39">
                  <c:v>92.616806722689091</c:v>
                </c:pt>
                <c:pt idx="40">
                  <c:v>94.99159663865548</c:v>
                </c:pt>
                <c:pt idx="41">
                  <c:v>97.366386554621869</c:v>
                </c:pt>
                <c:pt idx="42">
                  <c:v>99.741176470588229</c:v>
                </c:pt>
                <c:pt idx="43">
                  <c:v>102.11596638655463</c:v>
                </c:pt>
                <c:pt idx="44">
                  <c:v>104.49075630252101</c:v>
                </c:pt>
                <c:pt idx="45">
                  <c:v>106.86554621848741</c:v>
                </c:pt>
                <c:pt idx="46">
                  <c:v>109.24033613445381</c:v>
                </c:pt>
                <c:pt idx="47">
                  <c:v>111.61512605042017</c:v>
                </c:pt>
                <c:pt idx="48">
                  <c:v>113.98991596638656</c:v>
                </c:pt>
                <c:pt idx="49">
                  <c:v>116.36470588235296</c:v>
                </c:pt>
                <c:pt idx="50">
                  <c:v>118.73949579831934</c:v>
                </c:pt>
                <c:pt idx="51">
                  <c:v>121.11428571428573</c:v>
                </c:pt>
                <c:pt idx="52">
                  <c:v>123.48907563025213</c:v>
                </c:pt>
                <c:pt idx="53">
                  <c:v>125.86386554621849</c:v>
                </c:pt>
                <c:pt idx="54">
                  <c:v>128.23865546218488</c:v>
                </c:pt>
                <c:pt idx="55">
                  <c:v>130.61344537815128</c:v>
                </c:pt>
                <c:pt idx="56">
                  <c:v>132.98823529411766</c:v>
                </c:pt>
                <c:pt idx="57">
                  <c:v>135.36302521008406</c:v>
                </c:pt>
                <c:pt idx="58">
                  <c:v>137.73781512605046</c:v>
                </c:pt>
                <c:pt idx="59">
                  <c:v>140.11260504201681</c:v>
                </c:pt>
                <c:pt idx="60">
                  <c:v>142.48739495798321</c:v>
                </c:pt>
                <c:pt idx="61">
                  <c:v>144.86218487394962</c:v>
                </c:pt>
                <c:pt idx="62">
                  <c:v>147.23697478991599</c:v>
                </c:pt>
                <c:pt idx="63">
                  <c:v>149.61176470588236</c:v>
                </c:pt>
                <c:pt idx="64">
                  <c:v>151.98655462184874</c:v>
                </c:pt>
                <c:pt idx="65">
                  <c:v>154.36134453781514</c:v>
                </c:pt>
                <c:pt idx="66">
                  <c:v>156.73613445378155</c:v>
                </c:pt>
                <c:pt idx="67">
                  <c:v>159.11092436974792</c:v>
                </c:pt>
                <c:pt idx="68">
                  <c:v>161.48571428571429</c:v>
                </c:pt>
                <c:pt idx="69">
                  <c:v>163.8605042016807</c:v>
                </c:pt>
                <c:pt idx="70">
                  <c:v>166.23529411764707</c:v>
                </c:pt>
                <c:pt idx="71">
                  <c:v>168.61008403361348</c:v>
                </c:pt>
                <c:pt idx="72">
                  <c:v>170.98487394957985</c:v>
                </c:pt>
                <c:pt idx="73">
                  <c:v>173.35966386554625</c:v>
                </c:pt>
                <c:pt idx="74">
                  <c:v>175.73445378151263</c:v>
                </c:pt>
                <c:pt idx="75">
                  <c:v>178.109243697479</c:v>
                </c:pt>
                <c:pt idx="76">
                  <c:v>180.4840336134454</c:v>
                </c:pt>
                <c:pt idx="77">
                  <c:v>182.85882352941181</c:v>
                </c:pt>
                <c:pt idx="78">
                  <c:v>185.23361344537818</c:v>
                </c:pt>
                <c:pt idx="79">
                  <c:v>187.60840336134456</c:v>
                </c:pt>
                <c:pt idx="80">
                  <c:v>189.98319327731096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63-4A32-ADF3-C5528F01FC67}"/>
            </c:ext>
          </c:extLst>
        </c:ser>
        <c:ser>
          <c:idx val="3"/>
          <c:order val="3"/>
          <c:tx>
            <c:strRef>
              <c:f>'Wykres predkosci do obrotow'!$F$1:$F$2</c:f>
              <c:strCache>
                <c:ptCount val="1"/>
                <c:pt idx="0">
                  <c:v>PRZELOZENIE  2,11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'Wykres predkosci do obrotow'!$B$3:$B$84</c:f>
              <c:strCache>
                <c:ptCount val="8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</c:strCache>
            </c:strRef>
          </c:cat>
          <c:val>
            <c:numRef>
              <c:f>'Wykres predkosci do obrotow'!$F$3:$F$84</c:f>
              <c:numCache>
                <c:formatCode>General</c:formatCode>
                <c:ptCount val="81"/>
                <c:pt idx="0">
                  <c:v>0</c:v>
                </c:pt>
                <c:pt idx="1">
                  <c:v>2.6786729857819909</c:v>
                </c:pt>
                <c:pt idx="2">
                  <c:v>5.3573459715639817</c:v>
                </c:pt>
                <c:pt idx="3">
                  <c:v>8.0360189573459717</c:v>
                </c:pt>
                <c:pt idx="4">
                  <c:v>10.714691943127963</c:v>
                </c:pt>
                <c:pt idx="5">
                  <c:v>13.393364928909955</c:v>
                </c:pt>
                <c:pt idx="6">
                  <c:v>16.072037914691943</c:v>
                </c:pt>
                <c:pt idx="7">
                  <c:v>18.750710900473933</c:v>
                </c:pt>
                <c:pt idx="8">
                  <c:v>21.429383886255927</c:v>
                </c:pt>
                <c:pt idx="9">
                  <c:v>24.108056872037917</c:v>
                </c:pt>
                <c:pt idx="10">
                  <c:v>26.78672985781991</c:v>
                </c:pt>
                <c:pt idx="11">
                  <c:v>29.465402843601897</c:v>
                </c:pt>
                <c:pt idx="12">
                  <c:v>32.144075829383887</c:v>
                </c:pt>
                <c:pt idx="13">
                  <c:v>34.822748815165887</c:v>
                </c:pt>
                <c:pt idx="14">
                  <c:v>37.501421800947867</c:v>
                </c:pt>
                <c:pt idx="15">
                  <c:v>40.18009478672986</c:v>
                </c:pt>
                <c:pt idx="16">
                  <c:v>42.858767772511854</c:v>
                </c:pt>
                <c:pt idx="17">
                  <c:v>45.53744075829384</c:v>
                </c:pt>
                <c:pt idx="18">
                  <c:v>48.216113744075834</c:v>
                </c:pt>
                <c:pt idx="19">
                  <c:v>50.894786729857827</c:v>
                </c:pt>
                <c:pt idx="20">
                  <c:v>53.573459715639821</c:v>
                </c:pt>
                <c:pt idx="21">
                  <c:v>56.2521327014218</c:v>
                </c:pt>
                <c:pt idx="22">
                  <c:v>58.930805687203794</c:v>
                </c:pt>
                <c:pt idx="23">
                  <c:v>61.609478672985801</c:v>
                </c:pt>
                <c:pt idx="24">
                  <c:v>64.288151658767774</c:v>
                </c:pt>
                <c:pt idx="25">
                  <c:v>66.966824644549774</c:v>
                </c:pt>
                <c:pt idx="26">
                  <c:v>69.645497630331775</c:v>
                </c:pt>
                <c:pt idx="27">
                  <c:v>72.324170616113761</c:v>
                </c:pt>
                <c:pt idx="28">
                  <c:v>75.002843601895734</c:v>
                </c:pt>
                <c:pt idx="29">
                  <c:v>77.681516587677748</c:v>
                </c:pt>
                <c:pt idx="30">
                  <c:v>80.360189573459721</c:v>
                </c:pt>
                <c:pt idx="31">
                  <c:v>83.038862559241721</c:v>
                </c:pt>
                <c:pt idx="32">
                  <c:v>85.717535545023708</c:v>
                </c:pt>
                <c:pt idx="33">
                  <c:v>88.396208530805708</c:v>
                </c:pt>
                <c:pt idx="34">
                  <c:v>91.074881516587681</c:v>
                </c:pt>
                <c:pt idx="35">
                  <c:v>93.753554502369681</c:v>
                </c:pt>
                <c:pt idx="36">
                  <c:v>96.432227488151668</c:v>
                </c:pt>
                <c:pt idx="37">
                  <c:v>99.110900473933668</c:v>
                </c:pt>
                <c:pt idx="38">
                  <c:v>101.78957345971565</c:v>
                </c:pt>
                <c:pt idx="39">
                  <c:v>104.46824644549766</c:v>
                </c:pt>
                <c:pt idx="40">
                  <c:v>107.14691943127964</c:v>
                </c:pt>
                <c:pt idx="41">
                  <c:v>109.82559241706163</c:v>
                </c:pt>
                <c:pt idx="42">
                  <c:v>112.5042654028436</c:v>
                </c:pt>
                <c:pt idx="43">
                  <c:v>115.18293838862562</c:v>
                </c:pt>
                <c:pt idx="44">
                  <c:v>117.86161137440759</c:v>
                </c:pt>
                <c:pt idx="45">
                  <c:v>120.5402843601896</c:v>
                </c:pt>
                <c:pt idx="46">
                  <c:v>123.2189573459716</c:v>
                </c:pt>
                <c:pt idx="47">
                  <c:v>125.89763033175356</c:v>
                </c:pt>
                <c:pt idx="48">
                  <c:v>128.57630331753555</c:v>
                </c:pt>
                <c:pt idx="49">
                  <c:v>131.25497630331756</c:v>
                </c:pt>
                <c:pt idx="50">
                  <c:v>133.93364928909955</c:v>
                </c:pt>
                <c:pt idx="51">
                  <c:v>136.61232227488154</c:v>
                </c:pt>
                <c:pt idx="52">
                  <c:v>139.29099526066355</c:v>
                </c:pt>
                <c:pt idx="53">
                  <c:v>141.96966824644551</c:v>
                </c:pt>
                <c:pt idx="54">
                  <c:v>144.64834123222752</c:v>
                </c:pt>
                <c:pt idx="55">
                  <c:v>147.32701421800948</c:v>
                </c:pt>
                <c:pt idx="56">
                  <c:v>150.00568720379147</c:v>
                </c:pt>
                <c:pt idx="57">
                  <c:v>152.68436018957348</c:v>
                </c:pt>
                <c:pt idx="58">
                  <c:v>155.3630331753555</c:v>
                </c:pt>
                <c:pt idx="59">
                  <c:v>158.04170616113745</c:v>
                </c:pt>
                <c:pt idx="60">
                  <c:v>160.72037914691944</c:v>
                </c:pt>
                <c:pt idx="61">
                  <c:v>163.39905213270146</c:v>
                </c:pt>
                <c:pt idx="62">
                  <c:v>166.07772511848344</c:v>
                </c:pt>
                <c:pt idx="63">
                  <c:v>168.75639810426543</c:v>
                </c:pt>
                <c:pt idx="64">
                  <c:v>171.43507109004742</c:v>
                </c:pt>
                <c:pt idx="65">
                  <c:v>174.1137440758294</c:v>
                </c:pt>
                <c:pt idx="66">
                  <c:v>176.79241706161142</c:v>
                </c:pt>
                <c:pt idx="67">
                  <c:v>179.47109004739337</c:v>
                </c:pt>
                <c:pt idx="68">
                  <c:v>182.14976303317536</c:v>
                </c:pt>
                <c:pt idx="69">
                  <c:v>184.82843601895738</c:v>
                </c:pt>
                <c:pt idx="70">
                  <c:v>187.50710900473936</c:v>
                </c:pt>
                <c:pt idx="71">
                  <c:v>190.18578199052135</c:v>
                </c:pt>
                <c:pt idx="72">
                  <c:v>192.86445497630334</c:v>
                </c:pt>
                <c:pt idx="73">
                  <c:v>195.54312796208535</c:v>
                </c:pt>
                <c:pt idx="74">
                  <c:v>198.22180094786734</c:v>
                </c:pt>
                <c:pt idx="75">
                  <c:v>200.90047393364932</c:v>
                </c:pt>
                <c:pt idx="76">
                  <c:v>203.57914691943131</c:v>
                </c:pt>
                <c:pt idx="77">
                  <c:v>206.25781990521332</c:v>
                </c:pt>
                <c:pt idx="78">
                  <c:v>208.93649289099531</c:v>
                </c:pt>
                <c:pt idx="79">
                  <c:v>211.61516587677727</c:v>
                </c:pt>
                <c:pt idx="80">
                  <c:v>214.29383886255928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63-4A32-ADF3-C5528F01FC67}"/>
            </c:ext>
          </c:extLst>
        </c:ser>
        <c:ser>
          <c:idx val="4"/>
          <c:order val="4"/>
          <c:tx>
            <c:strRef>
              <c:f>'Wykres predkosci do obrotow'!$G$1:$G$2</c:f>
              <c:strCache>
                <c:ptCount val="1"/>
                <c:pt idx="0">
                  <c:v>PRZELOZENIE  1,81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'Wykres predkosci do obrotow'!$B$3:$B$84</c:f>
              <c:strCache>
                <c:ptCount val="8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</c:strCache>
            </c:strRef>
          </c:cat>
          <c:val>
            <c:numRef>
              <c:f>'Wykres predkosci do obrotow'!$G$3:$G$84</c:f>
              <c:numCache>
                <c:formatCode>General</c:formatCode>
                <c:ptCount val="81"/>
                <c:pt idx="0">
                  <c:v>0</c:v>
                </c:pt>
                <c:pt idx="1">
                  <c:v>3.1226519337016576</c:v>
                </c:pt>
                <c:pt idx="2">
                  <c:v>6.2453038674033152</c:v>
                </c:pt>
                <c:pt idx="3">
                  <c:v>9.3679558011049711</c:v>
                </c:pt>
                <c:pt idx="4">
                  <c:v>12.49060773480663</c:v>
                </c:pt>
                <c:pt idx="5">
                  <c:v>15.61325966850829</c:v>
                </c:pt>
                <c:pt idx="6">
                  <c:v>18.735911602209942</c:v>
                </c:pt>
                <c:pt idx="7">
                  <c:v>21.858563535911603</c:v>
                </c:pt>
                <c:pt idx="8">
                  <c:v>24.981215469613261</c:v>
                </c:pt>
                <c:pt idx="9">
                  <c:v>28.103867403314919</c:v>
                </c:pt>
                <c:pt idx="10">
                  <c:v>31.22651933701658</c:v>
                </c:pt>
                <c:pt idx="11">
                  <c:v>34.34917127071823</c:v>
                </c:pt>
                <c:pt idx="12">
                  <c:v>37.471823204419884</c:v>
                </c:pt>
                <c:pt idx="13">
                  <c:v>40.594475138121553</c:v>
                </c:pt>
                <c:pt idx="14">
                  <c:v>43.717127071823207</c:v>
                </c:pt>
                <c:pt idx="15">
                  <c:v>46.839779005524861</c:v>
                </c:pt>
                <c:pt idx="16">
                  <c:v>49.962430939226522</c:v>
                </c:pt>
                <c:pt idx="17">
                  <c:v>53.085082872928176</c:v>
                </c:pt>
                <c:pt idx="18">
                  <c:v>56.207734806629837</c:v>
                </c:pt>
                <c:pt idx="19">
                  <c:v>59.330386740331491</c:v>
                </c:pt>
                <c:pt idx="20">
                  <c:v>62.453038674033159</c:v>
                </c:pt>
                <c:pt idx="21">
                  <c:v>65.575690607734799</c:v>
                </c:pt>
                <c:pt idx="22">
                  <c:v>68.69834254143646</c:v>
                </c:pt>
                <c:pt idx="23">
                  <c:v>71.820994475138136</c:v>
                </c:pt>
                <c:pt idx="24">
                  <c:v>74.943646408839768</c:v>
                </c:pt>
                <c:pt idx="25">
                  <c:v>78.066298342541444</c:v>
                </c:pt>
                <c:pt idx="26">
                  <c:v>81.188950276243105</c:v>
                </c:pt>
                <c:pt idx="27">
                  <c:v>84.311602209944752</c:v>
                </c:pt>
                <c:pt idx="28">
                  <c:v>87.434254143646413</c:v>
                </c:pt>
                <c:pt idx="29">
                  <c:v>90.556906077348089</c:v>
                </c:pt>
                <c:pt idx="30">
                  <c:v>93.679558011049721</c:v>
                </c:pt>
                <c:pt idx="31">
                  <c:v>96.802209944751382</c:v>
                </c:pt>
                <c:pt idx="32">
                  <c:v>99.924861878453044</c:v>
                </c:pt>
                <c:pt idx="33">
                  <c:v>103.0475138121547</c:v>
                </c:pt>
                <c:pt idx="34">
                  <c:v>106.17016574585635</c:v>
                </c:pt>
                <c:pt idx="35">
                  <c:v>109.29281767955801</c:v>
                </c:pt>
                <c:pt idx="36">
                  <c:v>112.41546961325967</c:v>
                </c:pt>
                <c:pt idx="37">
                  <c:v>115.53812154696134</c:v>
                </c:pt>
                <c:pt idx="38">
                  <c:v>118.66077348066298</c:v>
                </c:pt>
                <c:pt idx="39">
                  <c:v>121.78342541436466</c:v>
                </c:pt>
                <c:pt idx="40">
                  <c:v>124.90607734806632</c:v>
                </c:pt>
                <c:pt idx="41">
                  <c:v>128.02872928176797</c:v>
                </c:pt>
                <c:pt idx="42">
                  <c:v>131.1513812154696</c:v>
                </c:pt>
                <c:pt idx="43">
                  <c:v>134.27403314917129</c:v>
                </c:pt>
                <c:pt idx="44">
                  <c:v>137.39668508287292</c:v>
                </c:pt>
                <c:pt idx="45">
                  <c:v>140.51933701657461</c:v>
                </c:pt>
                <c:pt idx="46">
                  <c:v>143.64198895027627</c:v>
                </c:pt>
                <c:pt idx="47">
                  <c:v>146.7646408839779</c:v>
                </c:pt>
                <c:pt idx="48">
                  <c:v>149.88729281767954</c:v>
                </c:pt>
                <c:pt idx="49">
                  <c:v>153.00994475138123</c:v>
                </c:pt>
                <c:pt idx="50">
                  <c:v>156.13259668508289</c:v>
                </c:pt>
                <c:pt idx="51">
                  <c:v>159.25524861878452</c:v>
                </c:pt>
                <c:pt idx="52">
                  <c:v>162.37790055248621</c:v>
                </c:pt>
                <c:pt idx="53">
                  <c:v>165.50055248618784</c:v>
                </c:pt>
                <c:pt idx="54">
                  <c:v>168.6232044198895</c:v>
                </c:pt>
                <c:pt idx="55">
                  <c:v>171.74585635359117</c:v>
                </c:pt>
                <c:pt idx="56">
                  <c:v>174.86850828729283</c:v>
                </c:pt>
                <c:pt idx="57">
                  <c:v>177.99116022099449</c:v>
                </c:pt>
                <c:pt idx="58">
                  <c:v>181.11381215469618</c:v>
                </c:pt>
                <c:pt idx="59">
                  <c:v>184.23646408839778</c:v>
                </c:pt>
                <c:pt idx="60">
                  <c:v>187.35911602209944</c:v>
                </c:pt>
                <c:pt idx="61">
                  <c:v>190.48176795580113</c:v>
                </c:pt>
                <c:pt idx="62">
                  <c:v>193.60441988950276</c:v>
                </c:pt>
                <c:pt idx="63">
                  <c:v>196.72707182320443</c:v>
                </c:pt>
                <c:pt idx="64">
                  <c:v>199.84972375690609</c:v>
                </c:pt>
                <c:pt idx="65">
                  <c:v>202.97237569060772</c:v>
                </c:pt>
                <c:pt idx="66">
                  <c:v>206.09502762430941</c:v>
                </c:pt>
                <c:pt idx="67">
                  <c:v>209.21767955801107</c:v>
                </c:pt>
                <c:pt idx="68">
                  <c:v>212.3403314917127</c:v>
                </c:pt>
                <c:pt idx="69">
                  <c:v>215.46298342541439</c:v>
                </c:pt>
                <c:pt idx="70">
                  <c:v>218.58563535911603</c:v>
                </c:pt>
                <c:pt idx="71">
                  <c:v>221.70828729281769</c:v>
                </c:pt>
                <c:pt idx="72">
                  <c:v>224.83093922651935</c:v>
                </c:pt>
                <c:pt idx="73">
                  <c:v>227.95359116022101</c:v>
                </c:pt>
                <c:pt idx="74">
                  <c:v>231.07624309392267</c:v>
                </c:pt>
                <c:pt idx="75">
                  <c:v>234.19889502762433</c:v>
                </c:pt>
                <c:pt idx="76">
                  <c:v>237.32154696132596</c:v>
                </c:pt>
                <c:pt idx="77">
                  <c:v>240.44419889502765</c:v>
                </c:pt>
                <c:pt idx="78">
                  <c:v>243.56685082872932</c:v>
                </c:pt>
                <c:pt idx="79">
                  <c:v>246.68950276243095</c:v>
                </c:pt>
                <c:pt idx="80">
                  <c:v>249.81215469613264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63-4A32-ADF3-C5528F01FC67}"/>
            </c:ext>
          </c:extLst>
        </c:ser>
        <c:ser>
          <c:idx val="5"/>
          <c:order val="5"/>
          <c:tx>
            <c:strRef>
              <c:f>'Wykres predkosci do obrotow'!$H$1:$H$2</c:f>
              <c:strCache>
                <c:ptCount val="1"/>
                <c:pt idx="0">
                  <c:v>PRZELOZENIE  1,58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'Wykres predkosci do obrotow'!$B$3:$B$84</c:f>
              <c:strCache>
                <c:ptCount val="8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</c:strCache>
            </c:strRef>
          </c:cat>
          <c:val>
            <c:numRef>
              <c:f>'Wykres predkosci do obrotow'!$H$3:$H$84</c:f>
              <c:numCache>
                <c:formatCode>General</c:formatCode>
                <c:ptCount val="81"/>
                <c:pt idx="0">
                  <c:v>0</c:v>
                </c:pt>
                <c:pt idx="1">
                  <c:v>3.5772151898734177</c:v>
                </c:pt>
                <c:pt idx="2">
                  <c:v>7.1544303797468354</c:v>
                </c:pt>
                <c:pt idx="3">
                  <c:v>10.731645569620252</c:v>
                </c:pt>
                <c:pt idx="4">
                  <c:v>14.308860759493671</c:v>
                </c:pt>
                <c:pt idx="5">
                  <c:v>17.88607594936709</c:v>
                </c:pt>
                <c:pt idx="6">
                  <c:v>21.463291139240503</c:v>
                </c:pt>
                <c:pt idx="7">
                  <c:v>25.040506329113924</c:v>
                </c:pt>
                <c:pt idx="8">
                  <c:v>28.617721518987342</c:v>
                </c:pt>
                <c:pt idx="9">
                  <c:v>32.194936708860759</c:v>
                </c:pt>
                <c:pt idx="10">
                  <c:v>35.77215189873418</c:v>
                </c:pt>
                <c:pt idx="11">
                  <c:v>39.349367088607593</c:v>
                </c:pt>
                <c:pt idx="12">
                  <c:v>42.926582278481007</c:v>
                </c:pt>
                <c:pt idx="13">
                  <c:v>46.503797468354435</c:v>
                </c:pt>
                <c:pt idx="14">
                  <c:v>50.081012658227849</c:v>
                </c:pt>
                <c:pt idx="15">
                  <c:v>53.658227848101262</c:v>
                </c:pt>
                <c:pt idx="16">
                  <c:v>57.235443037974683</c:v>
                </c:pt>
                <c:pt idx="17">
                  <c:v>60.812658227848104</c:v>
                </c:pt>
                <c:pt idx="18">
                  <c:v>64.389873417721518</c:v>
                </c:pt>
                <c:pt idx="19">
                  <c:v>67.967088607594931</c:v>
                </c:pt>
                <c:pt idx="20">
                  <c:v>71.544303797468359</c:v>
                </c:pt>
                <c:pt idx="21">
                  <c:v>75.121518987341759</c:v>
                </c:pt>
                <c:pt idx="22">
                  <c:v>78.698734177215186</c:v>
                </c:pt>
                <c:pt idx="23">
                  <c:v>82.275949367088629</c:v>
                </c:pt>
                <c:pt idx="24">
                  <c:v>85.853164556962014</c:v>
                </c:pt>
                <c:pt idx="25">
                  <c:v>89.430379746835442</c:v>
                </c:pt>
                <c:pt idx="26">
                  <c:v>93.00759493670887</c:v>
                </c:pt>
                <c:pt idx="27">
                  <c:v>96.584810126582283</c:v>
                </c:pt>
                <c:pt idx="28">
                  <c:v>100.1620253164557</c:v>
                </c:pt>
                <c:pt idx="29">
                  <c:v>103.73924050632914</c:v>
                </c:pt>
                <c:pt idx="30">
                  <c:v>107.31645569620252</c:v>
                </c:pt>
                <c:pt idx="31">
                  <c:v>110.89367088607595</c:v>
                </c:pt>
                <c:pt idx="32">
                  <c:v>114.47088607594937</c:v>
                </c:pt>
                <c:pt idx="33">
                  <c:v>118.04810126582279</c:v>
                </c:pt>
                <c:pt idx="34">
                  <c:v>121.62531645569621</c:v>
                </c:pt>
                <c:pt idx="35">
                  <c:v>125.20253164556962</c:v>
                </c:pt>
                <c:pt idx="36">
                  <c:v>128.77974683544304</c:v>
                </c:pt>
                <c:pt idx="37">
                  <c:v>132.35696202531648</c:v>
                </c:pt>
                <c:pt idx="38">
                  <c:v>135.93417721518986</c:v>
                </c:pt>
                <c:pt idx="39">
                  <c:v>139.5113924050633</c:v>
                </c:pt>
                <c:pt idx="40">
                  <c:v>143.08860759493672</c:v>
                </c:pt>
                <c:pt idx="41">
                  <c:v>146.66582278481013</c:v>
                </c:pt>
                <c:pt idx="42">
                  <c:v>150.24303797468352</c:v>
                </c:pt>
                <c:pt idx="43">
                  <c:v>153.82025316455699</c:v>
                </c:pt>
                <c:pt idx="44">
                  <c:v>157.39746835443037</c:v>
                </c:pt>
                <c:pt idx="45">
                  <c:v>160.97468354430382</c:v>
                </c:pt>
                <c:pt idx="46">
                  <c:v>164.55189873417726</c:v>
                </c:pt>
                <c:pt idx="47">
                  <c:v>168.12911392405064</c:v>
                </c:pt>
                <c:pt idx="48">
                  <c:v>171.70632911392403</c:v>
                </c:pt>
                <c:pt idx="49">
                  <c:v>175.28354430379747</c:v>
                </c:pt>
                <c:pt idx="50">
                  <c:v>178.86075949367088</c:v>
                </c:pt>
                <c:pt idx="51">
                  <c:v>182.4379746835443</c:v>
                </c:pt>
                <c:pt idx="52">
                  <c:v>186.01518987341774</c:v>
                </c:pt>
                <c:pt idx="53">
                  <c:v>189.59240506329112</c:v>
                </c:pt>
                <c:pt idx="54">
                  <c:v>193.16962025316457</c:v>
                </c:pt>
                <c:pt idx="55">
                  <c:v>196.74683544303798</c:v>
                </c:pt>
                <c:pt idx="56">
                  <c:v>200.32405063291139</c:v>
                </c:pt>
                <c:pt idx="57">
                  <c:v>203.90126582278484</c:v>
                </c:pt>
                <c:pt idx="58">
                  <c:v>207.47848101265828</c:v>
                </c:pt>
                <c:pt idx="59">
                  <c:v>211.05569620253164</c:v>
                </c:pt>
                <c:pt idx="60">
                  <c:v>214.63291139240505</c:v>
                </c:pt>
                <c:pt idx="61">
                  <c:v>218.21012658227849</c:v>
                </c:pt>
                <c:pt idx="62">
                  <c:v>221.7873417721519</c:v>
                </c:pt>
                <c:pt idx="63">
                  <c:v>225.36455696202532</c:v>
                </c:pt>
                <c:pt idx="64">
                  <c:v>228.94177215189873</c:v>
                </c:pt>
                <c:pt idx="65">
                  <c:v>232.51898734177215</c:v>
                </c:pt>
                <c:pt idx="66">
                  <c:v>236.09620253164559</c:v>
                </c:pt>
                <c:pt idx="67">
                  <c:v>239.673417721519</c:v>
                </c:pt>
                <c:pt idx="68">
                  <c:v>243.25063291139242</c:v>
                </c:pt>
                <c:pt idx="69">
                  <c:v>246.82784810126586</c:v>
                </c:pt>
                <c:pt idx="70">
                  <c:v>250.40506329113924</c:v>
                </c:pt>
                <c:pt idx="71">
                  <c:v>253.98227848101266</c:v>
                </c:pt>
                <c:pt idx="72">
                  <c:v>257.55949367088607</c:v>
                </c:pt>
                <c:pt idx="73">
                  <c:v>261.13670886075954</c:v>
                </c:pt>
                <c:pt idx="74">
                  <c:v>264.71392405063295</c:v>
                </c:pt>
                <c:pt idx="75">
                  <c:v>268.29113924050631</c:v>
                </c:pt>
                <c:pt idx="76">
                  <c:v>271.86835443037972</c:v>
                </c:pt>
                <c:pt idx="77">
                  <c:v>275.4455696202532</c:v>
                </c:pt>
                <c:pt idx="78">
                  <c:v>279.02278481012661</c:v>
                </c:pt>
                <c:pt idx="79">
                  <c:v>282.60000000000002</c:v>
                </c:pt>
                <c:pt idx="80">
                  <c:v>286.17721518987344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63-4A32-ADF3-C5528F01FC67}"/>
            </c:ext>
          </c:extLst>
        </c:ser>
        <c:ser>
          <c:idx val="6"/>
          <c:order val="6"/>
          <c:tx>
            <c:strRef>
              <c:f>'Wykres predkosci do obrotow'!$I$1:$I$2</c:f>
              <c:strCache>
                <c:ptCount val="1"/>
                <c:pt idx="0">
                  <c:v>PRZELOZENIE  1,36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'Wykres predkosci do obrotow'!$B$3:$B$84</c:f>
              <c:strCache>
                <c:ptCount val="8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</c:strCache>
            </c:strRef>
          </c:cat>
          <c:val>
            <c:numRef>
              <c:f>'Wykres predkosci do obrotow'!$I$3:$I$84</c:f>
              <c:numCache>
                <c:formatCode>General</c:formatCode>
                <c:ptCount val="81"/>
                <c:pt idx="0">
                  <c:v>0</c:v>
                </c:pt>
                <c:pt idx="1">
                  <c:v>4.1558823529411759</c:v>
                </c:pt>
                <c:pt idx="2">
                  <c:v>8.3117647058823518</c:v>
                </c:pt>
                <c:pt idx="3">
                  <c:v>12.467647058823529</c:v>
                </c:pt>
                <c:pt idx="4">
                  <c:v>16.623529411764704</c:v>
                </c:pt>
                <c:pt idx="5">
                  <c:v>20.779411764705884</c:v>
                </c:pt>
                <c:pt idx="6">
                  <c:v>24.935294117647057</c:v>
                </c:pt>
                <c:pt idx="7">
                  <c:v>29.091176470588234</c:v>
                </c:pt>
                <c:pt idx="8">
                  <c:v>33.247058823529407</c:v>
                </c:pt>
                <c:pt idx="9">
                  <c:v>37.402941176470584</c:v>
                </c:pt>
                <c:pt idx="10">
                  <c:v>41.558823529411768</c:v>
                </c:pt>
                <c:pt idx="11">
                  <c:v>45.714705882352938</c:v>
                </c:pt>
                <c:pt idx="12">
                  <c:v>49.870588235294115</c:v>
                </c:pt>
                <c:pt idx="13">
                  <c:v>54.026470588235298</c:v>
                </c:pt>
                <c:pt idx="14">
                  <c:v>58.182352941176468</c:v>
                </c:pt>
                <c:pt idx="15">
                  <c:v>62.338235294117645</c:v>
                </c:pt>
                <c:pt idx="16">
                  <c:v>66.494117647058815</c:v>
                </c:pt>
                <c:pt idx="17">
                  <c:v>70.649999999999991</c:v>
                </c:pt>
                <c:pt idx="18">
                  <c:v>74.805882352941168</c:v>
                </c:pt>
                <c:pt idx="19">
                  <c:v>78.961764705882345</c:v>
                </c:pt>
                <c:pt idx="20">
                  <c:v>83.117647058823536</c:v>
                </c:pt>
                <c:pt idx="21">
                  <c:v>87.273529411764699</c:v>
                </c:pt>
                <c:pt idx="22">
                  <c:v>91.429411764705875</c:v>
                </c:pt>
                <c:pt idx="23">
                  <c:v>95.585294117647081</c:v>
                </c:pt>
                <c:pt idx="24">
                  <c:v>99.741176470588229</c:v>
                </c:pt>
                <c:pt idx="25">
                  <c:v>103.89705882352941</c:v>
                </c:pt>
                <c:pt idx="26">
                  <c:v>108.0529411764706</c:v>
                </c:pt>
                <c:pt idx="27">
                  <c:v>112.20882352941176</c:v>
                </c:pt>
                <c:pt idx="28">
                  <c:v>116.36470588235294</c:v>
                </c:pt>
                <c:pt idx="29">
                  <c:v>120.52058823529414</c:v>
                </c:pt>
                <c:pt idx="30">
                  <c:v>124.67647058823529</c:v>
                </c:pt>
                <c:pt idx="31">
                  <c:v>128.83235294117648</c:v>
                </c:pt>
                <c:pt idx="32">
                  <c:v>132.98823529411763</c:v>
                </c:pt>
                <c:pt idx="33">
                  <c:v>137.14411764705883</c:v>
                </c:pt>
                <c:pt idx="34">
                  <c:v>141.29999999999998</c:v>
                </c:pt>
                <c:pt idx="35">
                  <c:v>145.45588235294119</c:v>
                </c:pt>
                <c:pt idx="36">
                  <c:v>149.61176470588234</c:v>
                </c:pt>
                <c:pt idx="37">
                  <c:v>153.76764705882354</c:v>
                </c:pt>
                <c:pt idx="38">
                  <c:v>157.92352941176469</c:v>
                </c:pt>
                <c:pt idx="39">
                  <c:v>162.0794117647059</c:v>
                </c:pt>
                <c:pt idx="40">
                  <c:v>166.23529411764707</c:v>
                </c:pt>
                <c:pt idx="41">
                  <c:v>170.39117647058825</c:v>
                </c:pt>
                <c:pt idx="42">
                  <c:v>174.5470588235294</c:v>
                </c:pt>
                <c:pt idx="43">
                  <c:v>178.7029411764706</c:v>
                </c:pt>
                <c:pt idx="44">
                  <c:v>182.85882352941175</c:v>
                </c:pt>
                <c:pt idx="45">
                  <c:v>187.01470588235296</c:v>
                </c:pt>
                <c:pt idx="46">
                  <c:v>191.17058823529416</c:v>
                </c:pt>
                <c:pt idx="47">
                  <c:v>195.32647058823528</c:v>
                </c:pt>
                <c:pt idx="48">
                  <c:v>199.48235294117646</c:v>
                </c:pt>
                <c:pt idx="49">
                  <c:v>203.63823529411766</c:v>
                </c:pt>
                <c:pt idx="50">
                  <c:v>207.79411764705881</c:v>
                </c:pt>
                <c:pt idx="51">
                  <c:v>211.95</c:v>
                </c:pt>
                <c:pt idx="52">
                  <c:v>216.10588235294119</c:v>
                </c:pt>
                <c:pt idx="53">
                  <c:v>220.26176470588231</c:v>
                </c:pt>
                <c:pt idx="54">
                  <c:v>224.41764705882352</c:v>
                </c:pt>
                <c:pt idx="55">
                  <c:v>228.5735294117647</c:v>
                </c:pt>
                <c:pt idx="56">
                  <c:v>232.72941176470587</c:v>
                </c:pt>
                <c:pt idx="57">
                  <c:v>236.88529411764708</c:v>
                </c:pt>
                <c:pt idx="58">
                  <c:v>241.04117647058828</c:v>
                </c:pt>
                <c:pt idx="59">
                  <c:v>245.1970588235294</c:v>
                </c:pt>
                <c:pt idx="60">
                  <c:v>249.35294117647058</c:v>
                </c:pt>
                <c:pt idx="61">
                  <c:v>253.50882352941179</c:v>
                </c:pt>
                <c:pt idx="62">
                  <c:v>257.66470588235296</c:v>
                </c:pt>
                <c:pt idx="63">
                  <c:v>261.82058823529411</c:v>
                </c:pt>
                <c:pt idx="64">
                  <c:v>265.97647058823526</c:v>
                </c:pt>
                <c:pt idx="65">
                  <c:v>270.13235294117646</c:v>
                </c:pt>
                <c:pt idx="66">
                  <c:v>274.28823529411767</c:v>
                </c:pt>
                <c:pt idx="67">
                  <c:v>278.44411764705882</c:v>
                </c:pt>
                <c:pt idx="68">
                  <c:v>282.59999999999997</c:v>
                </c:pt>
                <c:pt idx="69">
                  <c:v>286.75588235294117</c:v>
                </c:pt>
                <c:pt idx="70">
                  <c:v>290.91176470588238</c:v>
                </c:pt>
                <c:pt idx="71">
                  <c:v>295.06764705882352</c:v>
                </c:pt>
                <c:pt idx="72">
                  <c:v>299.22352941176467</c:v>
                </c:pt>
                <c:pt idx="73">
                  <c:v>303.37941176470588</c:v>
                </c:pt>
                <c:pt idx="74">
                  <c:v>307.53529411764708</c:v>
                </c:pt>
                <c:pt idx="75">
                  <c:v>311.69117647058823</c:v>
                </c:pt>
                <c:pt idx="76">
                  <c:v>315.84705882352938</c:v>
                </c:pt>
                <c:pt idx="77">
                  <c:v>320.00294117647059</c:v>
                </c:pt>
                <c:pt idx="78">
                  <c:v>324.15882352941179</c:v>
                </c:pt>
                <c:pt idx="79">
                  <c:v>328.31470588235294</c:v>
                </c:pt>
                <c:pt idx="80">
                  <c:v>332.47058823529414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63-4A32-ADF3-C5528F01FC67}"/>
            </c:ext>
          </c:extLst>
        </c:ser>
        <c:ser>
          <c:idx val="7"/>
          <c:order val="7"/>
          <c:tx>
            <c:strRef>
              <c:f>'Wykres predkosci do obrotow'!$J$1:$J$2</c:f>
              <c:strCache>
                <c:ptCount val="1"/>
                <c:pt idx="0">
                  <c:v>PRZELOZENIE 1,19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'Wykres predkosci do obrotow'!$B$3:$B$84</c:f>
              <c:strCache>
                <c:ptCount val="8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</c:strCache>
            </c:strRef>
          </c:cat>
          <c:val>
            <c:numRef>
              <c:f>'Wykres predkosci do obrotow'!$J$3:$J$84</c:f>
              <c:numCache>
                <c:formatCode>General</c:formatCode>
                <c:ptCount val="81"/>
                <c:pt idx="0">
                  <c:v>0</c:v>
                </c:pt>
                <c:pt idx="1">
                  <c:v>4.7495798319327731</c:v>
                </c:pt>
                <c:pt idx="2">
                  <c:v>9.4991596638655462</c:v>
                </c:pt>
                <c:pt idx="3">
                  <c:v>14.24873949579832</c:v>
                </c:pt>
                <c:pt idx="4">
                  <c:v>18.998319327731092</c:v>
                </c:pt>
                <c:pt idx="5">
                  <c:v>23.74789915966387</c:v>
                </c:pt>
                <c:pt idx="6">
                  <c:v>28.49747899159664</c:v>
                </c:pt>
                <c:pt idx="7">
                  <c:v>33.247058823529414</c:v>
                </c:pt>
                <c:pt idx="8">
                  <c:v>37.996638655462185</c:v>
                </c:pt>
                <c:pt idx="9">
                  <c:v>42.746218487394962</c:v>
                </c:pt>
                <c:pt idx="10">
                  <c:v>47.49579831932774</c:v>
                </c:pt>
                <c:pt idx="11">
                  <c:v>52.245378151260503</c:v>
                </c:pt>
                <c:pt idx="12">
                  <c:v>56.994957983193281</c:v>
                </c:pt>
                <c:pt idx="13">
                  <c:v>61.744537815126066</c:v>
                </c:pt>
                <c:pt idx="14">
                  <c:v>66.494117647058829</c:v>
                </c:pt>
                <c:pt idx="15">
                  <c:v>71.243697478991606</c:v>
                </c:pt>
                <c:pt idx="16">
                  <c:v>75.99327731092437</c:v>
                </c:pt>
                <c:pt idx="17">
                  <c:v>80.742857142857147</c:v>
                </c:pt>
                <c:pt idx="18">
                  <c:v>85.492436974789925</c:v>
                </c:pt>
                <c:pt idx="19">
                  <c:v>90.242016806722702</c:v>
                </c:pt>
                <c:pt idx="20">
                  <c:v>94.99159663865548</c:v>
                </c:pt>
                <c:pt idx="21">
                  <c:v>99.741176470588229</c:v>
                </c:pt>
                <c:pt idx="22">
                  <c:v>104.49075630252101</c:v>
                </c:pt>
                <c:pt idx="23">
                  <c:v>109.24033613445381</c:v>
                </c:pt>
                <c:pt idx="24">
                  <c:v>113.98991596638656</c:v>
                </c:pt>
                <c:pt idx="25">
                  <c:v>118.73949579831934</c:v>
                </c:pt>
                <c:pt idx="26">
                  <c:v>123.48907563025213</c:v>
                </c:pt>
                <c:pt idx="27">
                  <c:v>128.23865546218488</c:v>
                </c:pt>
                <c:pt idx="28">
                  <c:v>132.98823529411766</c:v>
                </c:pt>
                <c:pt idx="29">
                  <c:v>137.73781512605046</c:v>
                </c:pt>
                <c:pt idx="30">
                  <c:v>142.48739495798321</c:v>
                </c:pt>
                <c:pt idx="31">
                  <c:v>147.23697478991599</c:v>
                </c:pt>
                <c:pt idx="32">
                  <c:v>151.98655462184874</c:v>
                </c:pt>
                <c:pt idx="33">
                  <c:v>156.73613445378155</c:v>
                </c:pt>
                <c:pt idx="34">
                  <c:v>161.48571428571429</c:v>
                </c:pt>
                <c:pt idx="35">
                  <c:v>166.23529411764707</c:v>
                </c:pt>
                <c:pt idx="36">
                  <c:v>170.98487394957985</c:v>
                </c:pt>
                <c:pt idx="37">
                  <c:v>175.73445378151263</c:v>
                </c:pt>
                <c:pt idx="38">
                  <c:v>180.4840336134454</c:v>
                </c:pt>
                <c:pt idx="39">
                  <c:v>185.23361344537818</c:v>
                </c:pt>
                <c:pt idx="40">
                  <c:v>189.98319327731096</c:v>
                </c:pt>
                <c:pt idx="41">
                  <c:v>194.73277310924374</c:v>
                </c:pt>
                <c:pt idx="42">
                  <c:v>199.48235294117646</c:v>
                </c:pt>
                <c:pt idx="43">
                  <c:v>204.23193277310926</c:v>
                </c:pt>
                <c:pt idx="44">
                  <c:v>208.98151260504201</c:v>
                </c:pt>
                <c:pt idx="45">
                  <c:v>213.73109243697482</c:v>
                </c:pt>
                <c:pt idx="46">
                  <c:v>218.48067226890763</c:v>
                </c:pt>
                <c:pt idx="47">
                  <c:v>223.23025210084035</c:v>
                </c:pt>
                <c:pt idx="48">
                  <c:v>227.97983193277312</c:v>
                </c:pt>
                <c:pt idx="49">
                  <c:v>232.72941176470593</c:v>
                </c:pt>
                <c:pt idx="50">
                  <c:v>237.47899159663868</c:v>
                </c:pt>
                <c:pt idx="51">
                  <c:v>242.22857142857146</c:v>
                </c:pt>
                <c:pt idx="52">
                  <c:v>246.97815126050426</c:v>
                </c:pt>
                <c:pt idx="53">
                  <c:v>251.72773109243698</c:v>
                </c:pt>
                <c:pt idx="54">
                  <c:v>256.47731092436976</c:v>
                </c:pt>
                <c:pt idx="55">
                  <c:v>261.22689075630257</c:v>
                </c:pt>
                <c:pt idx="56">
                  <c:v>265.97647058823532</c:v>
                </c:pt>
                <c:pt idx="57">
                  <c:v>270.72605042016812</c:v>
                </c:pt>
                <c:pt idx="58">
                  <c:v>275.47563025210093</c:v>
                </c:pt>
                <c:pt idx="59">
                  <c:v>280.22521008403362</c:v>
                </c:pt>
                <c:pt idx="60">
                  <c:v>284.97478991596643</c:v>
                </c:pt>
                <c:pt idx="61">
                  <c:v>289.72436974789923</c:v>
                </c:pt>
                <c:pt idx="62">
                  <c:v>294.47394957983198</c:v>
                </c:pt>
                <c:pt idx="63">
                  <c:v>299.22352941176473</c:v>
                </c:pt>
                <c:pt idx="64">
                  <c:v>303.97310924369748</c:v>
                </c:pt>
                <c:pt idx="65">
                  <c:v>308.72268907563029</c:v>
                </c:pt>
                <c:pt idx="66">
                  <c:v>313.47226890756309</c:v>
                </c:pt>
                <c:pt idx="67">
                  <c:v>318.22184873949584</c:v>
                </c:pt>
                <c:pt idx="68">
                  <c:v>322.97142857142859</c:v>
                </c:pt>
                <c:pt idx="69">
                  <c:v>327.7210084033614</c:v>
                </c:pt>
                <c:pt idx="70">
                  <c:v>332.47058823529414</c:v>
                </c:pt>
                <c:pt idx="71">
                  <c:v>337.22016806722695</c:v>
                </c:pt>
                <c:pt idx="72">
                  <c:v>341.9697478991597</c:v>
                </c:pt>
                <c:pt idx="73">
                  <c:v>346.71932773109251</c:v>
                </c:pt>
                <c:pt idx="74">
                  <c:v>351.46890756302525</c:v>
                </c:pt>
                <c:pt idx="75">
                  <c:v>356.218487394958</c:v>
                </c:pt>
                <c:pt idx="76">
                  <c:v>360.96806722689081</c:v>
                </c:pt>
                <c:pt idx="77">
                  <c:v>365.71764705882362</c:v>
                </c:pt>
                <c:pt idx="78">
                  <c:v>370.46722689075636</c:v>
                </c:pt>
                <c:pt idx="79">
                  <c:v>375.21680672268911</c:v>
                </c:pt>
                <c:pt idx="80">
                  <c:v>379.96638655462192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63-4A32-ADF3-C5528F01F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253840"/>
        <c:axId val="227262576"/>
      </c:lineChart>
      <c:catAx>
        <c:axId val="22725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27262576"/>
        <c:crosses val="autoZero"/>
        <c:auto val="1"/>
        <c:lblAlgn val="ctr"/>
        <c:lblOffset val="100"/>
        <c:noMultiLvlLbl val="0"/>
      </c:catAx>
      <c:valAx>
        <c:axId val="22726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2725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16</xdr:row>
      <xdr:rowOff>95251</xdr:rowOff>
    </xdr:from>
    <xdr:to>
      <xdr:col>0</xdr:col>
      <xdr:colOff>981075</xdr:colOff>
      <xdr:row>17</xdr:row>
      <xdr:rowOff>142876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499FC515-A68D-450A-B41A-A0BECF9E745D}"/>
            </a:ext>
          </a:extLst>
        </xdr:cNvPr>
        <xdr:cNvSpPr txBox="1"/>
      </xdr:nvSpPr>
      <xdr:spPr>
        <a:xfrm>
          <a:off x="57150" y="2686051"/>
          <a:ext cx="92392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/>
            <a:t>95 benzyna</a:t>
          </a:r>
        </a:p>
      </xdr:txBody>
    </xdr:sp>
    <xdr:clientData/>
  </xdr:twoCellAnchor>
  <xdr:twoCellAnchor>
    <xdr:from>
      <xdr:col>0</xdr:col>
      <xdr:colOff>0</xdr:colOff>
      <xdr:row>20</xdr:row>
      <xdr:rowOff>104775</xdr:rowOff>
    </xdr:from>
    <xdr:to>
      <xdr:col>1</xdr:col>
      <xdr:colOff>9525</xdr:colOff>
      <xdr:row>22</xdr:row>
      <xdr:rowOff>19050</xdr:rowOff>
    </xdr:to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698A9298-0B1D-4B8D-87DB-0801AC7BFA2B}"/>
            </a:ext>
          </a:extLst>
        </xdr:cNvPr>
        <xdr:cNvSpPr txBox="1"/>
      </xdr:nvSpPr>
      <xdr:spPr>
        <a:xfrm>
          <a:off x="0" y="3343275"/>
          <a:ext cx="109537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/>
            <a:t>Etanol 110</a:t>
          </a:r>
        </a:p>
      </xdr:txBody>
    </xdr:sp>
    <xdr:clientData/>
  </xdr:twoCellAnchor>
  <xdr:twoCellAnchor>
    <xdr:from>
      <xdr:col>2</xdr:col>
      <xdr:colOff>971550</xdr:colOff>
      <xdr:row>27</xdr:row>
      <xdr:rowOff>104775</xdr:rowOff>
    </xdr:from>
    <xdr:to>
      <xdr:col>5</xdr:col>
      <xdr:colOff>104775</xdr:colOff>
      <xdr:row>30</xdr:row>
      <xdr:rowOff>114300</xdr:rowOff>
    </xdr:to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8A59AB23-9980-4190-9EA9-4EC0B2D7EB4F}"/>
            </a:ext>
          </a:extLst>
        </xdr:cNvPr>
        <xdr:cNvSpPr txBox="1"/>
      </xdr:nvSpPr>
      <xdr:spPr>
        <a:xfrm>
          <a:off x="2962275" y="4495800"/>
          <a:ext cx="1914525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/>
            <a:t>moc potrzebna</a:t>
          </a:r>
          <a:r>
            <a:rPr lang="pl-PL" sz="1100" baseline="0"/>
            <a:t> do przyspieszenia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</xdr:colOff>
      <xdr:row>0</xdr:row>
      <xdr:rowOff>71438</xdr:rowOff>
    </xdr:from>
    <xdr:to>
      <xdr:col>22</xdr:col>
      <xdr:colOff>785813</xdr:colOff>
      <xdr:row>39</xdr:row>
      <xdr:rowOff>-1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FEA26AC-6EF8-438A-8542-7D9B73A29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cal" refreshedDate="44701.677026157406" createdVersion="7" refreshedVersion="7" minRefreshableVersion="3" recordCount="81" xr:uid="{8895BCA1-5A91-4D41-A355-A269DC0CD68E}">
  <cacheSource type="worksheet">
    <worksheetSource ref="S1:AA82" sheet="Dane"/>
  </cacheSource>
  <cacheFields count="9">
    <cacheField name="obr/min" numFmtId="0">
      <sharedItems containsSemiMixedTypes="0" containsString="0" containsNumber="1" containsInteger="1" minValue="0" maxValue="8000" count="81">
        <n v="0"/>
        <n v="100"/>
        <n v="200"/>
        <n v="300"/>
        <n v="400"/>
        <n v="500"/>
        <n v="600"/>
        <n v="700"/>
        <n v="800"/>
        <n v="900"/>
        <n v="1000"/>
        <n v="1100"/>
        <n v="1200"/>
        <n v="1300"/>
        <n v="1400"/>
        <n v="1500"/>
        <n v="1600"/>
        <n v="1700"/>
        <n v="1800"/>
        <n v="1900"/>
        <n v="2000"/>
        <n v="2100"/>
        <n v="2200"/>
        <n v="2300"/>
        <n v="2400"/>
        <n v="2500"/>
        <n v="2600"/>
        <n v="2700"/>
        <n v="2800"/>
        <n v="2900"/>
        <n v="3000"/>
        <n v="3100"/>
        <n v="3200"/>
        <n v="3300"/>
        <n v="3400"/>
        <n v="3500"/>
        <n v="3600"/>
        <n v="3700"/>
        <n v="3800"/>
        <n v="3900"/>
        <n v="4000"/>
        <n v="4100"/>
        <n v="4200"/>
        <n v="4300"/>
        <n v="4400"/>
        <n v="4500"/>
        <n v="4600"/>
        <n v="4700"/>
        <n v="4800"/>
        <n v="4900"/>
        <n v="5000"/>
        <n v="5100"/>
        <n v="5200"/>
        <n v="5300"/>
        <n v="5400"/>
        <n v="5500"/>
        <n v="5600"/>
        <n v="5700"/>
        <n v="5800"/>
        <n v="5900"/>
        <n v="6000"/>
        <n v="6100"/>
        <n v="6200"/>
        <n v="6300"/>
        <n v="6400"/>
        <n v="6500"/>
        <n v="6600"/>
        <n v="6700"/>
        <n v="6800"/>
        <n v="6900"/>
        <n v="7000"/>
        <n v="7100"/>
        <n v="7200"/>
        <n v="7300"/>
        <n v="7400"/>
        <n v="7500"/>
        <n v="7600"/>
        <n v="7700"/>
        <n v="7800"/>
        <n v="7900"/>
        <n v="8000"/>
      </sharedItems>
    </cacheField>
    <cacheField name="3,17" numFmtId="164">
      <sharedItems containsSemiMixedTypes="0" containsString="0" containsNumber="1" minValue="0" maxValue="142.63722397476343" count="81">
        <n v="0"/>
        <n v="1.7829652996845426"/>
        <n v="3.5659305993690853"/>
        <n v="5.3488958990536277"/>
        <n v="7.1318611987381706"/>
        <n v="8.9148264984227144"/>
        <n v="10.697791798107255"/>
        <n v="12.480757097791798"/>
        <n v="14.263722397476341"/>
        <n v="16.046687697160884"/>
        <n v="17.829652996845429"/>
        <n v="19.612618296529966"/>
        <n v="21.395583596214511"/>
        <n v="23.178548895899059"/>
        <n v="24.961514195583597"/>
        <n v="26.744479495268141"/>
        <n v="28.527444794952682"/>
        <n v="30.310410094637227"/>
        <n v="32.093375394321768"/>
        <n v="33.876340694006309"/>
        <n v="35.659305993690857"/>
        <n v="37.442271293375391"/>
        <n v="39.225236593059932"/>
        <n v="41.008201892744495"/>
        <n v="42.791167192429022"/>
        <n v="44.57413249211357"/>
        <n v="46.357097791798118"/>
        <n v="48.140063091482652"/>
        <n v="49.923028391167193"/>
        <n v="51.705993690851749"/>
        <n v="53.488958990536283"/>
        <n v="55.271924290220824"/>
        <n v="57.054889589905365"/>
        <n v="58.837854889589913"/>
        <n v="60.620820189274454"/>
        <n v="62.403785488959002"/>
        <n v="64.186750788643536"/>
        <n v="65.969716088328084"/>
        <n v="67.752681388012618"/>
        <n v="69.535646687697167"/>
        <n v="71.318611987381715"/>
        <n v="73.101577287066263"/>
        <n v="74.884542586750783"/>
        <n v="76.667507886435345"/>
        <n v="78.450473186119865"/>
        <n v="80.233438485804427"/>
        <n v="82.01640378548899"/>
        <n v="83.79936908517351"/>
        <n v="85.582334384858044"/>
        <n v="87.365299684542606"/>
        <n v="89.14826498422714"/>
        <n v="90.931230283911674"/>
        <n v="92.714195583596236"/>
        <n v="94.497160883280756"/>
        <n v="96.280126182965304"/>
        <n v="98.063091482649853"/>
        <n v="99.846056782334387"/>
        <n v="101.62902208201895"/>
        <n v="103.4119873817035"/>
        <n v="105.19495268138802"/>
        <n v="106.97791798107257"/>
        <n v="108.76088328075711"/>
        <n v="110.54384858044165"/>
        <n v="112.3268138801262"/>
        <n v="114.10977917981073"/>
        <n v="115.89274447949526"/>
        <n v="117.67570977917983"/>
        <n v="119.45867507886436"/>
        <n v="121.24164037854891"/>
        <n v="123.02460567823346"/>
        <n v="124.807570977918"/>
        <n v="126.59053627760254"/>
        <n v="128.37350157728707"/>
        <n v="130.15646687697162"/>
        <n v="131.93943217665617"/>
        <n v="133.72239747634072"/>
        <n v="135.50536277602524"/>
        <n v="137.28832807570981"/>
        <n v="139.07129337539433"/>
        <n v="140.85425867507888"/>
        <n v="142.63722397476343"/>
      </sharedItems>
    </cacheField>
    <cacheField name="2,71" numFmtId="164">
      <sharedItems containsSemiMixedTypes="0" containsString="0" containsNumber="1" minValue="0" maxValue="166.84870848708491"/>
    </cacheField>
    <cacheField name="2,38" numFmtId="164">
      <sharedItems containsSemiMixedTypes="0" containsString="0" containsNumber="1" minValue="0" maxValue="189.98319327731096"/>
    </cacheField>
    <cacheField name="2,11" numFmtId="164">
      <sharedItems containsSemiMixedTypes="0" containsString="0" containsNumber="1" minValue="0" maxValue="214.29383886255928"/>
    </cacheField>
    <cacheField name="1,81" numFmtId="164">
      <sharedItems containsSemiMixedTypes="0" containsString="0" containsNumber="1" minValue="0" maxValue="249.81215469613264"/>
    </cacheField>
    <cacheField name="1,58" numFmtId="164">
      <sharedItems containsSemiMixedTypes="0" containsString="0" containsNumber="1" minValue="0" maxValue="286.17721518987344"/>
    </cacheField>
    <cacheField name="1,36" numFmtId="164">
      <sharedItems containsSemiMixedTypes="0" containsString="0" containsNumber="1" minValue="0" maxValue="332.47058823529414"/>
    </cacheField>
    <cacheField name="1,19" numFmtId="164">
      <sharedItems containsSemiMixedTypes="0" containsString="0" containsNumber="1" minValue="0" maxValue="379.966386554621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x v="0"/>
    <n v="0"/>
    <n v="0"/>
    <n v="0"/>
    <n v="0"/>
    <n v="0"/>
    <n v="0"/>
    <n v="0"/>
  </r>
  <r>
    <x v="1"/>
    <x v="1"/>
    <n v="2.0856088560885611"/>
    <n v="2.3747899159663866"/>
    <n v="2.6786729857819909"/>
    <n v="3.1226519337016576"/>
    <n v="3.5772151898734177"/>
    <n v="4.1558823529411759"/>
    <n v="4.7495798319327731"/>
  </r>
  <r>
    <x v="2"/>
    <x v="2"/>
    <n v="4.1712177121771221"/>
    <n v="4.7495798319327731"/>
    <n v="5.3573459715639817"/>
    <n v="6.2453038674033152"/>
    <n v="7.1544303797468354"/>
    <n v="8.3117647058823518"/>
    <n v="9.4991596638655462"/>
  </r>
  <r>
    <x v="3"/>
    <x v="3"/>
    <n v="6.2568265682656827"/>
    <n v="7.1243697478991601"/>
    <n v="8.0360189573459717"/>
    <n v="9.3679558011049711"/>
    <n v="10.731645569620252"/>
    <n v="12.467647058823529"/>
    <n v="14.24873949579832"/>
  </r>
  <r>
    <x v="4"/>
    <x v="4"/>
    <n v="8.3424354243542442"/>
    <n v="9.4991596638655462"/>
    <n v="10.714691943127963"/>
    <n v="12.49060773480663"/>
    <n v="14.308860759493671"/>
    <n v="16.623529411764704"/>
    <n v="18.998319327731092"/>
  </r>
  <r>
    <x v="5"/>
    <x v="5"/>
    <n v="10.428044280442807"/>
    <n v="11.873949579831935"/>
    <n v="13.393364928909955"/>
    <n v="15.61325966850829"/>
    <n v="17.88607594936709"/>
    <n v="20.779411764705884"/>
    <n v="23.74789915966387"/>
  </r>
  <r>
    <x v="6"/>
    <x v="6"/>
    <n v="12.513653136531365"/>
    <n v="14.24873949579832"/>
    <n v="16.072037914691943"/>
    <n v="18.735911602209942"/>
    <n v="21.463291139240503"/>
    <n v="24.935294117647057"/>
    <n v="28.49747899159664"/>
  </r>
  <r>
    <x v="7"/>
    <x v="7"/>
    <n v="14.599261992619926"/>
    <n v="16.623529411764707"/>
    <n v="18.750710900473933"/>
    <n v="21.858563535911603"/>
    <n v="25.040506329113924"/>
    <n v="29.091176470588234"/>
    <n v="33.247058823529414"/>
  </r>
  <r>
    <x v="8"/>
    <x v="8"/>
    <n v="16.684870848708488"/>
    <n v="18.998319327731092"/>
    <n v="21.429383886255927"/>
    <n v="24.981215469613261"/>
    <n v="28.617721518987342"/>
    <n v="33.247058823529407"/>
    <n v="37.996638655462185"/>
  </r>
  <r>
    <x v="9"/>
    <x v="9"/>
    <n v="18.770479704797047"/>
    <n v="21.373109243697481"/>
    <n v="24.108056872037917"/>
    <n v="28.103867403314919"/>
    <n v="32.194936708860759"/>
    <n v="37.402941176470584"/>
    <n v="42.746218487394962"/>
  </r>
  <r>
    <x v="10"/>
    <x v="10"/>
    <n v="20.856088560885613"/>
    <n v="23.74789915966387"/>
    <n v="26.78672985781991"/>
    <n v="31.22651933701658"/>
    <n v="35.77215189873418"/>
    <n v="41.558823529411768"/>
    <n v="47.49579831932774"/>
  </r>
  <r>
    <x v="11"/>
    <x v="11"/>
    <n v="22.941697416974169"/>
    <n v="26.122689075630252"/>
    <n v="29.465402843601897"/>
    <n v="34.34917127071823"/>
    <n v="39.349367088607593"/>
    <n v="45.714705882352938"/>
    <n v="52.245378151260503"/>
  </r>
  <r>
    <x v="12"/>
    <x v="12"/>
    <n v="25.027306273062731"/>
    <n v="28.49747899159664"/>
    <n v="32.144075829383887"/>
    <n v="37.471823204419884"/>
    <n v="42.926582278481007"/>
    <n v="49.870588235294115"/>
    <n v="56.994957983193281"/>
  </r>
  <r>
    <x v="13"/>
    <x v="13"/>
    <n v="27.112915129151297"/>
    <n v="30.872268907563033"/>
    <n v="34.822748815165887"/>
    <n v="40.594475138121553"/>
    <n v="46.503797468354435"/>
    <n v="54.026470588235298"/>
    <n v="61.744537815126066"/>
  </r>
  <r>
    <x v="14"/>
    <x v="14"/>
    <n v="29.198523985239852"/>
    <n v="33.247058823529414"/>
    <n v="37.501421800947867"/>
    <n v="43.717127071823207"/>
    <n v="50.081012658227849"/>
    <n v="58.182352941176468"/>
    <n v="66.494117647058829"/>
  </r>
  <r>
    <x v="15"/>
    <x v="15"/>
    <n v="31.284132841328415"/>
    <n v="35.621848739495803"/>
    <n v="40.18009478672986"/>
    <n v="46.839779005524861"/>
    <n v="53.658227848101262"/>
    <n v="62.338235294117645"/>
    <n v="71.243697478991606"/>
  </r>
  <r>
    <x v="16"/>
    <x v="16"/>
    <n v="33.369741697416977"/>
    <n v="37.996638655462185"/>
    <n v="42.858767772511854"/>
    <n v="49.962430939226522"/>
    <n v="57.235443037974683"/>
    <n v="66.494117647058815"/>
    <n v="75.99327731092437"/>
  </r>
  <r>
    <x v="17"/>
    <x v="17"/>
    <n v="35.455350553505539"/>
    <n v="40.371428571428574"/>
    <n v="45.53744075829384"/>
    <n v="53.085082872928176"/>
    <n v="60.812658227848104"/>
    <n v="70.649999999999991"/>
    <n v="80.742857142857147"/>
  </r>
  <r>
    <x v="18"/>
    <x v="18"/>
    <n v="37.540959409594095"/>
    <n v="42.746218487394962"/>
    <n v="48.216113744075834"/>
    <n v="56.207734806629837"/>
    <n v="64.389873417721518"/>
    <n v="74.805882352941168"/>
    <n v="85.492436974789925"/>
  </r>
  <r>
    <x v="19"/>
    <x v="19"/>
    <n v="39.626568265682657"/>
    <n v="45.121008403361351"/>
    <n v="50.894786729857827"/>
    <n v="59.330386740331491"/>
    <n v="67.967088607594931"/>
    <n v="78.961764705882345"/>
    <n v="90.242016806722702"/>
  </r>
  <r>
    <x v="20"/>
    <x v="20"/>
    <n v="41.712177121771226"/>
    <n v="47.49579831932774"/>
    <n v="53.573459715639821"/>
    <n v="62.453038674033159"/>
    <n v="71.544303797468359"/>
    <n v="83.117647058823536"/>
    <n v="94.99159663865548"/>
  </r>
  <r>
    <x v="21"/>
    <x v="21"/>
    <n v="43.797785977859775"/>
    <n v="49.870588235294115"/>
    <n v="56.2521327014218"/>
    <n v="65.575690607734799"/>
    <n v="75.121518987341759"/>
    <n v="87.273529411764699"/>
    <n v="99.741176470588229"/>
  </r>
  <r>
    <x v="22"/>
    <x v="22"/>
    <n v="45.883394833948337"/>
    <n v="52.245378151260503"/>
    <n v="58.930805687203794"/>
    <n v="68.69834254143646"/>
    <n v="78.698734177215186"/>
    <n v="91.429411764705875"/>
    <n v="104.49075630252101"/>
  </r>
  <r>
    <x v="23"/>
    <x v="23"/>
    <n v="47.969003690036914"/>
    <n v="54.620168067226906"/>
    <n v="61.609478672985801"/>
    <n v="71.820994475138136"/>
    <n v="82.275949367088629"/>
    <n v="95.585294117647081"/>
    <n v="109.24033613445381"/>
  </r>
  <r>
    <x v="24"/>
    <x v="24"/>
    <n v="50.054612546125462"/>
    <n v="56.994957983193281"/>
    <n v="64.288151658767774"/>
    <n v="74.943646408839768"/>
    <n v="85.853164556962014"/>
    <n v="99.741176470588229"/>
    <n v="113.98991596638656"/>
  </r>
  <r>
    <x v="25"/>
    <x v="25"/>
    <n v="52.140221402214024"/>
    <n v="59.36974789915967"/>
    <n v="66.966824644549774"/>
    <n v="78.066298342541444"/>
    <n v="89.430379746835442"/>
    <n v="103.89705882352941"/>
    <n v="118.73949579831934"/>
  </r>
  <r>
    <x v="26"/>
    <x v="26"/>
    <n v="54.225830258302594"/>
    <n v="61.744537815126066"/>
    <n v="69.645497630331775"/>
    <n v="81.188950276243105"/>
    <n v="93.00759493670887"/>
    <n v="108.0529411764706"/>
    <n v="123.48907563025213"/>
  </r>
  <r>
    <x v="27"/>
    <x v="27"/>
    <n v="56.311439114391149"/>
    <n v="64.11932773109244"/>
    <n v="72.324170616113761"/>
    <n v="84.311602209944752"/>
    <n v="96.584810126582283"/>
    <n v="112.20882352941176"/>
    <n v="128.23865546218488"/>
  </r>
  <r>
    <x v="28"/>
    <x v="28"/>
    <n v="58.397047970479704"/>
    <n v="66.494117647058829"/>
    <n v="75.002843601895734"/>
    <n v="87.434254143646413"/>
    <n v="100.1620253164557"/>
    <n v="116.36470588235294"/>
    <n v="132.98823529411766"/>
  </r>
  <r>
    <x v="29"/>
    <x v="29"/>
    <n v="60.482656826568281"/>
    <n v="68.868907563025232"/>
    <n v="77.681516587677748"/>
    <n v="90.556906077348089"/>
    <n v="103.73924050632914"/>
    <n v="120.52058823529414"/>
    <n v="137.73781512605046"/>
  </r>
  <r>
    <x v="30"/>
    <x v="30"/>
    <n v="62.568265682656829"/>
    <n v="71.243697478991606"/>
    <n v="80.360189573459721"/>
    <n v="93.679558011049721"/>
    <n v="107.31645569620252"/>
    <n v="124.67647058823529"/>
    <n v="142.48739495798321"/>
  </r>
  <r>
    <x v="31"/>
    <x v="31"/>
    <n v="64.653874538745399"/>
    <n v="73.618487394957995"/>
    <n v="83.038862559241721"/>
    <n v="96.802209944751382"/>
    <n v="110.89367088607595"/>
    <n v="128.83235294117648"/>
    <n v="147.23697478991599"/>
  </r>
  <r>
    <x v="32"/>
    <x v="32"/>
    <n v="66.739483394833954"/>
    <n v="75.99327731092437"/>
    <n v="85.717535545023708"/>
    <n v="99.924861878453044"/>
    <n v="114.47088607594937"/>
    <n v="132.98823529411763"/>
    <n v="151.98655462184874"/>
  </r>
  <r>
    <x v="33"/>
    <x v="33"/>
    <n v="68.825092250922523"/>
    <n v="78.368067226890773"/>
    <n v="88.396208530805708"/>
    <n v="103.0475138121547"/>
    <n v="118.04810126582279"/>
    <n v="137.14411764705883"/>
    <n v="156.73613445378155"/>
  </r>
  <r>
    <x v="34"/>
    <x v="34"/>
    <n v="70.910701107011079"/>
    <n v="80.742857142857147"/>
    <n v="91.074881516587681"/>
    <n v="106.17016574585635"/>
    <n v="121.62531645569621"/>
    <n v="141.29999999999998"/>
    <n v="161.48571428571429"/>
  </r>
  <r>
    <x v="35"/>
    <x v="35"/>
    <n v="72.996309963099634"/>
    <n v="83.117647058823536"/>
    <n v="93.753554502369681"/>
    <n v="109.29281767955801"/>
    <n v="125.20253164556962"/>
    <n v="145.45588235294119"/>
    <n v="166.23529411764707"/>
  </r>
  <r>
    <x v="36"/>
    <x v="36"/>
    <n v="75.081918819188189"/>
    <n v="85.492436974789925"/>
    <n v="96.432227488151668"/>
    <n v="112.41546961325967"/>
    <n v="128.77974683544304"/>
    <n v="149.61176470588234"/>
    <n v="170.98487394957985"/>
  </r>
  <r>
    <x v="37"/>
    <x v="37"/>
    <n v="77.167527675276759"/>
    <n v="87.867226890756314"/>
    <n v="99.110900473933668"/>
    <n v="115.53812154696134"/>
    <n v="132.35696202531648"/>
    <n v="153.76764705882354"/>
    <n v="175.73445378151263"/>
  </r>
  <r>
    <x v="38"/>
    <x v="38"/>
    <n v="79.253136531365314"/>
    <n v="90.242016806722702"/>
    <n v="101.78957345971565"/>
    <n v="118.66077348066298"/>
    <n v="135.93417721518986"/>
    <n v="157.92352941176469"/>
    <n v="180.4840336134454"/>
  </r>
  <r>
    <x v="39"/>
    <x v="39"/>
    <n v="81.338745387453883"/>
    <n v="92.616806722689091"/>
    <n v="104.46824644549766"/>
    <n v="121.78342541436466"/>
    <n v="139.5113924050633"/>
    <n v="162.0794117647059"/>
    <n v="185.23361344537818"/>
  </r>
  <r>
    <x v="40"/>
    <x v="40"/>
    <n v="83.424354243542453"/>
    <n v="94.99159663865548"/>
    <n v="107.14691943127964"/>
    <n v="124.90607734806632"/>
    <n v="143.08860759493672"/>
    <n v="166.23529411764707"/>
    <n v="189.98319327731096"/>
  </r>
  <r>
    <x v="41"/>
    <x v="41"/>
    <n v="85.509963099631008"/>
    <n v="97.366386554621869"/>
    <n v="109.82559241706163"/>
    <n v="128.02872928176797"/>
    <n v="146.66582278481013"/>
    <n v="170.39117647058825"/>
    <n v="194.73277310924374"/>
  </r>
  <r>
    <x v="42"/>
    <x v="42"/>
    <n v="87.595571955719549"/>
    <n v="99.741176470588229"/>
    <n v="112.5042654028436"/>
    <n v="131.1513812154696"/>
    <n v="150.24303797468352"/>
    <n v="174.5470588235294"/>
    <n v="199.48235294117646"/>
  </r>
  <r>
    <x v="43"/>
    <x v="43"/>
    <n v="89.681180811808133"/>
    <n v="102.11596638655463"/>
    <n v="115.18293838862562"/>
    <n v="134.27403314917129"/>
    <n v="153.82025316455699"/>
    <n v="178.7029411764706"/>
    <n v="204.23193277310926"/>
  </r>
  <r>
    <x v="44"/>
    <x v="44"/>
    <n v="91.766789667896674"/>
    <n v="104.49075630252101"/>
    <n v="117.86161137440759"/>
    <n v="137.39668508287292"/>
    <n v="157.39746835443037"/>
    <n v="182.85882352941175"/>
    <n v="208.98151260504201"/>
  </r>
  <r>
    <x v="45"/>
    <x v="45"/>
    <n v="93.852398523985258"/>
    <n v="106.86554621848741"/>
    <n v="120.5402843601896"/>
    <n v="140.51933701657461"/>
    <n v="160.97468354430382"/>
    <n v="187.01470588235296"/>
    <n v="213.73109243697482"/>
  </r>
  <r>
    <x v="46"/>
    <x v="46"/>
    <n v="95.938007380073827"/>
    <n v="109.24033613445381"/>
    <n v="123.2189573459716"/>
    <n v="143.64198895027627"/>
    <n v="164.55189873417726"/>
    <n v="191.17058823529416"/>
    <n v="218.48067226890763"/>
  </r>
  <r>
    <x v="47"/>
    <x v="47"/>
    <n v="98.023616236162368"/>
    <n v="111.61512605042017"/>
    <n v="125.89763033175356"/>
    <n v="146.7646408839779"/>
    <n v="168.12911392405064"/>
    <n v="195.32647058823528"/>
    <n v="223.23025210084035"/>
  </r>
  <r>
    <x v="48"/>
    <x v="48"/>
    <n v="100.10922509225092"/>
    <n v="113.98991596638656"/>
    <n v="128.57630331753555"/>
    <n v="149.88729281767954"/>
    <n v="171.70632911392403"/>
    <n v="199.48235294117646"/>
    <n v="227.97983193277312"/>
  </r>
  <r>
    <x v="49"/>
    <x v="49"/>
    <n v="102.19483394833949"/>
    <n v="116.36470588235296"/>
    <n v="131.25497630331756"/>
    <n v="153.00994475138123"/>
    <n v="175.28354430379747"/>
    <n v="203.63823529411766"/>
    <n v="232.72941176470593"/>
  </r>
  <r>
    <x v="50"/>
    <x v="50"/>
    <n v="104.28044280442805"/>
    <n v="118.73949579831934"/>
    <n v="133.93364928909955"/>
    <n v="156.13259668508289"/>
    <n v="178.86075949367088"/>
    <n v="207.79411764705881"/>
    <n v="237.47899159663868"/>
  </r>
  <r>
    <x v="51"/>
    <x v="51"/>
    <n v="106.3660516605166"/>
    <n v="121.11428571428573"/>
    <n v="136.61232227488154"/>
    <n v="159.25524861878452"/>
    <n v="182.4379746835443"/>
    <n v="211.95"/>
    <n v="242.22857142857146"/>
  </r>
  <r>
    <x v="52"/>
    <x v="52"/>
    <n v="108.45166051660519"/>
    <n v="123.48907563025213"/>
    <n v="139.29099526066355"/>
    <n v="162.37790055248621"/>
    <n v="186.01518987341774"/>
    <n v="216.10588235294119"/>
    <n v="246.97815126050426"/>
  </r>
  <r>
    <x v="53"/>
    <x v="53"/>
    <n v="110.53726937269373"/>
    <n v="125.86386554621849"/>
    <n v="141.96966824644551"/>
    <n v="165.50055248618784"/>
    <n v="189.59240506329112"/>
    <n v="220.26176470588231"/>
    <n v="251.72773109243698"/>
  </r>
  <r>
    <x v="54"/>
    <x v="54"/>
    <n v="112.6228782287823"/>
    <n v="128.23865546218488"/>
    <n v="144.64834123222752"/>
    <n v="168.6232044198895"/>
    <n v="193.16962025316457"/>
    <n v="224.41764705882352"/>
    <n v="256.47731092436976"/>
  </r>
  <r>
    <x v="55"/>
    <x v="55"/>
    <n v="114.70848708487085"/>
    <n v="130.61344537815128"/>
    <n v="147.32701421800948"/>
    <n v="171.74585635359117"/>
    <n v="196.74683544303798"/>
    <n v="228.5735294117647"/>
    <n v="261.22689075630257"/>
  </r>
  <r>
    <x v="56"/>
    <x v="56"/>
    <n v="116.79409594095941"/>
    <n v="132.98823529411766"/>
    <n v="150.00568720379147"/>
    <n v="174.86850828729283"/>
    <n v="200.32405063291139"/>
    <n v="232.72941176470587"/>
    <n v="265.97647058823532"/>
  </r>
  <r>
    <x v="57"/>
    <x v="57"/>
    <n v="118.87970479704799"/>
    <n v="135.36302521008406"/>
    <n v="152.68436018957348"/>
    <n v="177.99116022099449"/>
    <n v="203.90126582278484"/>
    <n v="236.88529411764708"/>
    <n v="270.72605042016812"/>
  </r>
  <r>
    <x v="58"/>
    <x v="58"/>
    <n v="120.96531365313656"/>
    <n v="137.73781512605046"/>
    <n v="155.3630331753555"/>
    <n v="181.11381215469618"/>
    <n v="207.47848101265828"/>
    <n v="241.04117647058828"/>
    <n v="275.47563025210093"/>
  </r>
  <r>
    <x v="59"/>
    <x v="59"/>
    <n v="123.0509225092251"/>
    <n v="140.11260504201681"/>
    <n v="158.04170616113745"/>
    <n v="184.23646408839778"/>
    <n v="211.05569620253164"/>
    <n v="245.1970588235294"/>
    <n v="280.22521008403362"/>
  </r>
  <r>
    <x v="60"/>
    <x v="60"/>
    <n v="125.13653136531366"/>
    <n v="142.48739495798321"/>
    <n v="160.72037914691944"/>
    <n v="187.35911602209944"/>
    <n v="214.63291139240505"/>
    <n v="249.35294117647058"/>
    <n v="284.97478991596643"/>
  </r>
  <r>
    <x v="61"/>
    <x v="61"/>
    <n v="127.22214022140223"/>
    <n v="144.86218487394962"/>
    <n v="163.39905213270146"/>
    <n v="190.48176795580113"/>
    <n v="218.21012658227849"/>
    <n v="253.50882352941179"/>
    <n v="289.72436974789923"/>
  </r>
  <r>
    <x v="62"/>
    <x v="62"/>
    <n v="129.3077490774908"/>
    <n v="147.23697478991599"/>
    <n v="166.07772511848344"/>
    <n v="193.60441988950276"/>
    <n v="221.7873417721519"/>
    <n v="257.66470588235296"/>
    <n v="294.47394957983198"/>
  </r>
  <r>
    <x v="63"/>
    <x v="63"/>
    <n v="131.39335793357935"/>
    <n v="149.61176470588236"/>
    <n v="168.75639810426543"/>
    <n v="196.72707182320443"/>
    <n v="225.36455696202532"/>
    <n v="261.82058823529411"/>
    <n v="299.22352941176473"/>
  </r>
  <r>
    <x v="64"/>
    <x v="64"/>
    <n v="133.47896678966791"/>
    <n v="151.98655462184874"/>
    <n v="171.43507109004742"/>
    <n v="199.84972375690609"/>
    <n v="228.94177215189873"/>
    <n v="265.97647058823526"/>
    <n v="303.97310924369748"/>
  </r>
  <r>
    <x v="65"/>
    <x v="65"/>
    <n v="135.56457564575646"/>
    <n v="154.36134453781514"/>
    <n v="174.1137440758294"/>
    <n v="202.97237569060772"/>
    <n v="232.51898734177215"/>
    <n v="270.13235294117646"/>
    <n v="308.72268907563029"/>
  </r>
  <r>
    <x v="66"/>
    <x v="66"/>
    <n v="137.65018450184505"/>
    <n v="156.73613445378155"/>
    <n v="176.79241706161142"/>
    <n v="206.09502762430941"/>
    <n v="236.09620253164559"/>
    <n v="274.28823529411767"/>
    <n v="313.47226890756309"/>
  </r>
  <r>
    <x v="67"/>
    <x v="67"/>
    <n v="139.7357933579336"/>
    <n v="159.11092436974792"/>
    <n v="179.47109004739337"/>
    <n v="209.21767955801107"/>
    <n v="239.673417721519"/>
    <n v="278.44411764705882"/>
    <n v="318.22184873949584"/>
  </r>
  <r>
    <x v="68"/>
    <x v="68"/>
    <n v="141.82140221402216"/>
    <n v="161.48571428571429"/>
    <n v="182.14976303317536"/>
    <n v="212.3403314917127"/>
    <n v="243.25063291139242"/>
    <n v="282.59999999999997"/>
    <n v="322.97142857142859"/>
  </r>
  <r>
    <x v="69"/>
    <x v="69"/>
    <n v="143.90701107011071"/>
    <n v="163.8605042016807"/>
    <n v="184.82843601895738"/>
    <n v="215.46298342541439"/>
    <n v="246.82784810126586"/>
    <n v="286.75588235294117"/>
    <n v="327.7210084033614"/>
  </r>
  <r>
    <x v="70"/>
    <x v="70"/>
    <n v="145.99261992619927"/>
    <n v="166.23529411764707"/>
    <n v="187.50710900473936"/>
    <n v="218.58563535911603"/>
    <n v="250.40506329113924"/>
    <n v="290.91176470588238"/>
    <n v="332.47058823529414"/>
  </r>
  <r>
    <x v="71"/>
    <x v="71"/>
    <n v="148.07822878228782"/>
    <n v="168.61008403361348"/>
    <n v="190.18578199052135"/>
    <n v="221.70828729281769"/>
    <n v="253.98227848101266"/>
    <n v="295.06764705882352"/>
    <n v="337.22016806722695"/>
  </r>
  <r>
    <x v="72"/>
    <x v="72"/>
    <n v="150.16383763837638"/>
    <n v="170.98487394957985"/>
    <n v="192.86445497630334"/>
    <n v="224.83093922651935"/>
    <n v="257.55949367088607"/>
    <n v="299.22352941176467"/>
    <n v="341.9697478991597"/>
  </r>
  <r>
    <x v="73"/>
    <x v="73"/>
    <n v="152.24944649446496"/>
    <n v="173.35966386554625"/>
    <n v="195.54312796208535"/>
    <n v="227.95359116022101"/>
    <n v="261.13670886075954"/>
    <n v="303.37941176470588"/>
    <n v="346.71932773109251"/>
  </r>
  <r>
    <x v="74"/>
    <x v="74"/>
    <n v="154.33505535055352"/>
    <n v="175.73445378151263"/>
    <n v="198.22180094786734"/>
    <n v="231.07624309392267"/>
    <n v="264.71392405063295"/>
    <n v="307.53529411764708"/>
    <n v="351.46890756302525"/>
  </r>
  <r>
    <x v="75"/>
    <x v="75"/>
    <n v="156.42066420664207"/>
    <n v="178.109243697479"/>
    <n v="200.90047393364932"/>
    <n v="234.19889502762433"/>
    <n v="268.29113924050631"/>
    <n v="311.69117647058823"/>
    <n v="356.218487394958"/>
  </r>
  <r>
    <x v="76"/>
    <x v="76"/>
    <n v="158.50627306273063"/>
    <n v="180.4840336134454"/>
    <n v="203.57914691943131"/>
    <n v="237.32154696132596"/>
    <n v="271.86835443037972"/>
    <n v="315.84705882352938"/>
    <n v="360.96806722689081"/>
  </r>
  <r>
    <x v="77"/>
    <x v="77"/>
    <n v="160.59188191881921"/>
    <n v="182.85882352941181"/>
    <n v="206.25781990521332"/>
    <n v="240.44419889502765"/>
    <n v="275.4455696202532"/>
    <n v="320.00294117647059"/>
    <n v="365.71764705882362"/>
  </r>
  <r>
    <x v="78"/>
    <x v="78"/>
    <n v="162.67749077490777"/>
    <n v="185.23361344537818"/>
    <n v="208.93649289099531"/>
    <n v="243.56685082872932"/>
    <n v="279.02278481012661"/>
    <n v="324.15882352941179"/>
    <n v="370.46722689075636"/>
  </r>
  <r>
    <x v="79"/>
    <x v="79"/>
    <n v="164.76309963099632"/>
    <n v="187.60840336134456"/>
    <n v="211.61516587677727"/>
    <n v="246.68950276243095"/>
    <n v="282.60000000000002"/>
    <n v="328.31470588235294"/>
    <n v="375.21680672268911"/>
  </r>
  <r>
    <x v="80"/>
    <x v="80"/>
    <n v="166.84870848708491"/>
    <n v="189.98319327731096"/>
    <n v="214.29383886255928"/>
    <n v="249.81215469613264"/>
    <n v="286.17721518987344"/>
    <n v="332.47058823529414"/>
    <n v="379.966386554621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20B41-AF18-4DE8-B921-E5004B2ABBE1}" name="Tabela przestawna2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chartFormat="1" rowHeaderCaption="RPM">
  <location ref="B1:J84" firstHeaderRow="1" firstDataRow="2" firstDataCol="1"/>
  <pivotFields count="9">
    <pivotField name="OBROTY NA MINUTE NA WALE" axis="axisRow" showAll="0" defaultSubtota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</pivotFields>
  <rowFields count="1">
    <field x="0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PRZELOZENIE 3,17" fld="1" baseField="0" baseItem="0"/>
    <dataField name="PRZELOZENIE 2,71" fld="2" baseField="0" baseItem="0"/>
    <dataField name="PRZELOZENIE  2,38" fld="3" baseField="0" baseItem="0"/>
    <dataField name="PRZELOZENIE  2,11" fld="4" baseField="0" baseItem="0"/>
    <dataField name="PRZELOZENIE  1,81" fld="5" baseField="0" baseItem="0"/>
    <dataField name="PRZELOZENIE  1,58" fld="6" baseField="0" baseItem="0"/>
    <dataField name="PRZELOZENIE  1,36" fld="7" baseField="0" baseItem="0"/>
    <dataField name="PRZELOZENIE 1,19" fld="8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outlinePr summaryBelow="0" summaryRight="0"/>
  </sheetPr>
  <dimension ref="A1:AA1000"/>
  <sheetViews>
    <sheetView tabSelected="1" workbookViewId="0">
      <selection activeCell="H16" sqref="H16"/>
    </sheetView>
  </sheetViews>
  <sheetFormatPr defaultColWidth="12.5703125" defaultRowHeight="15.75" customHeight="1" x14ac:dyDescent="0.2"/>
  <cols>
    <col min="1" max="1" width="17.28515625" customWidth="1"/>
    <col min="3" max="3" width="14.85546875" customWidth="1"/>
    <col min="5" max="5" width="14.28515625" customWidth="1"/>
    <col min="6" max="6" width="15.28515625" style="25" customWidth="1"/>
    <col min="8" max="8" width="14.42578125" customWidth="1"/>
    <col min="9" max="9" width="19.42578125" customWidth="1"/>
    <col min="10" max="10" width="16.140625" customWidth="1"/>
    <col min="11" max="11" width="15.140625" customWidth="1"/>
    <col min="18" max="18" width="12.28515625" customWidth="1"/>
  </cols>
  <sheetData>
    <row r="1" spans="1:27" ht="12.75" x14ac:dyDescent="0.2">
      <c r="A1" s="1" t="s">
        <v>0</v>
      </c>
      <c r="B1" s="2" t="s">
        <v>1</v>
      </c>
      <c r="C1" s="6" t="s">
        <v>4</v>
      </c>
      <c r="D1" s="3" t="s">
        <v>2</v>
      </c>
      <c r="E1" s="4" t="s">
        <v>3</v>
      </c>
      <c r="R1" s="7" t="s">
        <v>5</v>
      </c>
      <c r="S1" s="5" t="s">
        <v>8</v>
      </c>
      <c r="T1" s="8">
        <v>3.17</v>
      </c>
      <c r="U1" s="9">
        <v>2.71</v>
      </c>
      <c r="V1" s="10">
        <v>2.38</v>
      </c>
      <c r="W1" s="11">
        <v>2.11</v>
      </c>
      <c r="X1" s="12">
        <v>1.81</v>
      </c>
      <c r="Y1" s="13">
        <v>1.58</v>
      </c>
      <c r="Z1" s="14">
        <v>1.36</v>
      </c>
      <c r="AA1" s="15">
        <v>1.19</v>
      </c>
    </row>
    <row r="2" spans="1:27" ht="12.75" x14ac:dyDescent="0.2">
      <c r="A2" s="1">
        <v>15</v>
      </c>
      <c r="B2" s="16">
        <f>(2*3.14*A2)/100</f>
        <v>0.94200000000000006</v>
      </c>
      <c r="C2" s="17">
        <f t="shared" ref="C2:C9" si="0">$E$2/D2</f>
        <v>3.1666666666666665</v>
      </c>
      <c r="D2" s="3">
        <v>12</v>
      </c>
      <c r="E2" s="4">
        <v>38</v>
      </c>
      <c r="R2" s="22">
        <f t="shared" ref="R2:R33" si="1">S2/60</f>
        <v>0</v>
      </c>
      <c r="S2" s="26">
        <v>0</v>
      </c>
      <c r="T2" s="23">
        <f>(R2*$B$2*3.6)/T$1</f>
        <v>0</v>
      </c>
      <c r="U2" s="23">
        <f>($R2*$B$2*3.6)/U$1</f>
        <v>0</v>
      </c>
      <c r="V2" s="23">
        <f>($R2*$B$2*3.6)/V$1</f>
        <v>0</v>
      </c>
      <c r="W2" s="23">
        <f>($R2*$B$2*3.6)/W$1</f>
        <v>0</v>
      </c>
      <c r="X2" s="23">
        <f>($R2*$B$2*3.6)/X$1</f>
        <v>0</v>
      </c>
      <c r="Y2" s="23">
        <f>($R2*$B$2*3.6)/Y$1</f>
        <v>0</v>
      </c>
      <c r="Z2" s="23">
        <f>($R2*$B$2*3.6)/Z$1</f>
        <v>0</v>
      </c>
      <c r="AA2" s="23">
        <f>($R2*$B$2*3.6)/AA$1</f>
        <v>0</v>
      </c>
    </row>
    <row r="3" spans="1:27" ht="12.75" x14ac:dyDescent="0.2">
      <c r="A3" s="19">
        <v>10</v>
      </c>
      <c r="B3" s="16">
        <f>(2*3.14*A3)/100</f>
        <v>0.628</v>
      </c>
      <c r="C3" s="17">
        <f t="shared" si="0"/>
        <v>2.7142857142857144</v>
      </c>
      <c r="D3" s="3">
        <v>14</v>
      </c>
      <c r="R3" s="16">
        <f t="shared" si="1"/>
        <v>1.6666666666666667</v>
      </c>
      <c r="S3" s="5">
        <v>100</v>
      </c>
      <c r="T3" s="18">
        <f>(R3*$B$2*3.6)/$T$1</f>
        <v>1.7829652996845426</v>
      </c>
      <c r="U3" s="18">
        <f>($R3*$B$2*3.6)/U$1</f>
        <v>2.0856088560885611</v>
      </c>
      <c r="V3" s="18">
        <f>($R3*$B$2*3.6)/V$1</f>
        <v>2.3747899159663866</v>
      </c>
      <c r="W3" s="18">
        <f>($R3*$B$2*3.6)/W$1</f>
        <v>2.6786729857819909</v>
      </c>
      <c r="X3" s="18">
        <f>($R3*$B$2*3.6)/X$1</f>
        <v>3.1226519337016576</v>
      </c>
      <c r="Y3" s="18">
        <f>($R3*$B$2*3.6)/Y$1</f>
        <v>3.5772151898734177</v>
      </c>
      <c r="Z3" s="18">
        <f>($R3*$B$2*3.6)/Z$1</f>
        <v>4.1558823529411759</v>
      </c>
      <c r="AA3" s="18">
        <f>($R3*$B$2*3.6)/AA$1</f>
        <v>4.7495798319327731</v>
      </c>
    </row>
    <row r="4" spans="1:27" ht="12.75" x14ac:dyDescent="0.2">
      <c r="A4" s="19">
        <v>5</v>
      </c>
      <c r="B4" s="16">
        <f>(2*3.14*A4)/100</f>
        <v>0.314</v>
      </c>
      <c r="C4" s="17">
        <f t="shared" si="0"/>
        <v>2.375</v>
      </c>
      <c r="D4" s="3">
        <v>16</v>
      </c>
      <c r="R4" s="16">
        <f t="shared" si="1"/>
        <v>3.3333333333333335</v>
      </c>
      <c r="S4" s="5">
        <v>200</v>
      </c>
      <c r="T4" s="18">
        <f>(R4*$B$2*3.6)/$T$1</f>
        <v>3.5659305993690853</v>
      </c>
      <c r="U4" s="18">
        <f>($R4*$B$2*3.6)/U$1</f>
        <v>4.1712177121771221</v>
      </c>
      <c r="V4" s="18">
        <f>($R4*$B$2*3.6)/V$1</f>
        <v>4.7495798319327731</v>
      </c>
      <c r="W4" s="18">
        <f>($R4*$B$2*3.6)/W$1</f>
        <v>5.3573459715639817</v>
      </c>
      <c r="X4" s="18">
        <f>($R4*$B$2*3.6)/X$1</f>
        <v>6.2453038674033152</v>
      </c>
      <c r="Y4" s="18">
        <f>($R4*$B$2*3.6)/Y$1</f>
        <v>7.1544303797468354</v>
      </c>
      <c r="Z4" s="18">
        <f>($R4*$B$2*3.6)/Z$1</f>
        <v>8.3117647058823518</v>
      </c>
      <c r="AA4" s="18">
        <f>($R4*$B$2*3.6)/AA$1</f>
        <v>9.4991596638655462</v>
      </c>
    </row>
    <row r="5" spans="1:27" ht="12.75" x14ac:dyDescent="0.2">
      <c r="C5" s="17">
        <f t="shared" si="0"/>
        <v>2.1111111111111112</v>
      </c>
      <c r="D5" s="3">
        <v>18</v>
      </c>
      <c r="R5" s="16">
        <f t="shared" si="1"/>
        <v>5</v>
      </c>
      <c r="S5" s="5">
        <v>300</v>
      </c>
      <c r="T5" s="18">
        <f>(R5*$B$2*3.6)/$T$1</f>
        <v>5.3488958990536277</v>
      </c>
      <c r="U5" s="18">
        <f>($R5*$B$2*3.6)/U$1</f>
        <v>6.2568265682656827</v>
      </c>
      <c r="V5" s="18">
        <f>($R5*$B$2*3.6)/V$1</f>
        <v>7.1243697478991601</v>
      </c>
      <c r="W5" s="18">
        <f>($R5*$B$2*3.6)/W$1</f>
        <v>8.0360189573459717</v>
      </c>
      <c r="X5" s="18">
        <f>($R5*$B$2*3.6)/X$1</f>
        <v>9.3679558011049711</v>
      </c>
      <c r="Y5" s="18">
        <f>($R5*$B$2*3.6)/Y$1</f>
        <v>10.731645569620252</v>
      </c>
      <c r="Z5" s="18">
        <f>($R5*$B$2*3.6)/Z$1</f>
        <v>12.467647058823529</v>
      </c>
      <c r="AA5" s="18">
        <f>($R5*$B$2*3.6)/AA$1</f>
        <v>14.24873949579832</v>
      </c>
    </row>
    <row r="6" spans="1:27" ht="12.75" x14ac:dyDescent="0.2">
      <c r="C6" s="17">
        <f t="shared" si="0"/>
        <v>1.8095238095238095</v>
      </c>
      <c r="D6" s="3">
        <v>21</v>
      </c>
      <c r="R6" s="16">
        <f t="shared" si="1"/>
        <v>6.666666666666667</v>
      </c>
      <c r="S6" s="5">
        <v>400</v>
      </c>
      <c r="T6" s="18">
        <f>(R6*$B$2*3.6)/$T$1</f>
        <v>7.1318611987381706</v>
      </c>
      <c r="U6" s="18">
        <f>($R6*$B$2*3.6)/U$1</f>
        <v>8.3424354243542442</v>
      </c>
      <c r="V6" s="18">
        <f>($R6*$B$2*3.6)/V$1</f>
        <v>9.4991596638655462</v>
      </c>
      <c r="W6" s="18">
        <f>($R6*$B$2*3.6)/W$1</f>
        <v>10.714691943127963</v>
      </c>
      <c r="X6" s="18">
        <f>($R6*$B$2*3.6)/X$1</f>
        <v>12.49060773480663</v>
      </c>
      <c r="Y6" s="18">
        <f>($R6*$B$2*3.6)/Y$1</f>
        <v>14.308860759493671</v>
      </c>
      <c r="Z6" s="18">
        <f>($R6*$B$2*3.6)/Z$1</f>
        <v>16.623529411764704</v>
      </c>
      <c r="AA6" s="18">
        <f>($R6*$B$2*3.6)/AA$1</f>
        <v>18.998319327731092</v>
      </c>
    </row>
    <row r="7" spans="1:27" ht="12.75" x14ac:dyDescent="0.2">
      <c r="C7" s="17">
        <f t="shared" si="0"/>
        <v>1.5833333333333333</v>
      </c>
      <c r="D7" s="3">
        <v>24</v>
      </c>
      <c r="R7" s="16">
        <f t="shared" si="1"/>
        <v>8.3333333333333339</v>
      </c>
      <c r="S7" s="5">
        <v>500</v>
      </c>
      <c r="T7" s="18">
        <f>(R7*$B$2*3.6)/$T$1</f>
        <v>8.9148264984227144</v>
      </c>
      <c r="U7" s="18">
        <f>($R7*$B$2*3.6)/U$1</f>
        <v>10.428044280442807</v>
      </c>
      <c r="V7" s="18">
        <f>($R7*$B$2*3.6)/V$1</f>
        <v>11.873949579831935</v>
      </c>
      <c r="W7" s="18">
        <f>($R7*$B$2*3.6)/W$1</f>
        <v>13.393364928909955</v>
      </c>
      <c r="X7" s="18">
        <f>($R7*$B$2*3.6)/X$1</f>
        <v>15.61325966850829</v>
      </c>
      <c r="Y7" s="18">
        <f>($R7*$B$2*3.6)/Y$1</f>
        <v>17.88607594936709</v>
      </c>
      <c r="Z7" s="18">
        <f>($R7*$B$2*3.6)/Z$1</f>
        <v>20.779411764705884</v>
      </c>
      <c r="AA7" s="18">
        <f>($R7*$B$2*3.6)/AA$1</f>
        <v>23.74789915966387</v>
      </c>
    </row>
    <row r="8" spans="1:27" ht="12.75" x14ac:dyDescent="0.2">
      <c r="C8" s="17">
        <f t="shared" si="0"/>
        <v>1.3571428571428572</v>
      </c>
      <c r="D8" s="3">
        <v>28</v>
      </c>
      <c r="R8" s="16">
        <f t="shared" si="1"/>
        <v>10</v>
      </c>
      <c r="S8" s="5">
        <v>600</v>
      </c>
      <c r="T8" s="18">
        <f>(R8*$B$2*3.6)/$T$1</f>
        <v>10.697791798107255</v>
      </c>
      <c r="U8" s="18">
        <f>($R8*$B$2*3.6)/U$1</f>
        <v>12.513653136531365</v>
      </c>
      <c r="V8" s="18">
        <f>($R8*$B$2*3.6)/V$1</f>
        <v>14.24873949579832</v>
      </c>
      <c r="W8" s="18">
        <f>($R8*$B$2*3.6)/W$1</f>
        <v>16.072037914691943</v>
      </c>
      <c r="X8" s="18">
        <f>($R8*$B$2*3.6)/X$1</f>
        <v>18.735911602209942</v>
      </c>
      <c r="Y8" s="18">
        <f>($R8*$B$2*3.6)/Y$1</f>
        <v>21.463291139240503</v>
      </c>
      <c r="Z8" s="18">
        <f>($R8*$B$2*3.6)/Z$1</f>
        <v>24.935294117647057</v>
      </c>
      <c r="AA8" s="18">
        <f>($R8*$B$2*3.6)/AA$1</f>
        <v>28.49747899159664</v>
      </c>
    </row>
    <row r="9" spans="1:27" ht="12.75" x14ac:dyDescent="0.2">
      <c r="C9" s="17">
        <f t="shared" si="0"/>
        <v>1.1875</v>
      </c>
      <c r="D9" s="3">
        <v>32</v>
      </c>
      <c r="R9" s="16">
        <f t="shared" si="1"/>
        <v>11.666666666666666</v>
      </c>
      <c r="S9" s="5">
        <v>700</v>
      </c>
      <c r="T9" s="18">
        <f>(R9*$B$2*3.6)/$T$1</f>
        <v>12.480757097791798</v>
      </c>
      <c r="U9" s="18">
        <f>($R9*$B$2*3.6)/U$1</f>
        <v>14.599261992619926</v>
      </c>
      <c r="V9" s="18">
        <f>($R9*$B$2*3.6)/V$1</f>
        <v>16.623529411764707</v>
      </c>
      <c r="W9" s="18">
        <f>($R9*$B$2*3.6)/W$1</f>
        <v>18.750710900473933</v>
      </c>
      <c r="X9" s="18">
        <f>($R9*$B$2*3.6)/X$1</f>
        <v>21.858563535911603</v>
      </c>
      <c r="Y9" s="18">
        <f>($R9*$B$2*3.6)/Y$1</f>
        <v>25.040506329113924</v>
      </c>
      <c r="Z9" s="18">
        <f>($R9*$B$2*3.6)/Z$1</f>
        <v>29.091176470588234</v>
      </c>
      <c r="AA9" s="18">
        <f>($R9*$B$2*3.6)/AA$1</f>
        <v>33.247058823529414</v>
      </c>
    </row>
    <row r="10" spans="1:27" ht="12.75" x14ac:dyDescent="0.2">
      <c r="R10" s="16">
        <f t="shared" si="1"/>
        <v>13.333333333333334</v>
      </c>
      <c r="S10" s="5">
        <v>800</v>
      </c>
      <c r="T10" s="18">
        <f>(R10*$B$2*3.6)/$T$1</f>
        <v>14.263722397476341</v>
      </c>
      <c r="U10" s="18">
        <f>($R10*$B$2*3.6)/U$1</f>
        <v>16.684870848708488</v>
      </c>
      <c r="V10" s="18">
        <f>($R10*$B$2*3.6)/V$1</f>
        <v>18.998319327731092</v>
      </c>
      <c r="W10" s="18">
        <f>($R10*$B$2*3.6)/W$1</f>
        <v>21.429383886255927</v>
      </c>
      <c r="X10" s="18">
        <f>($R10*$B$2*3.6)/X$1</f>
        <v>24.981215469613261</v>
      </c>
      <c r="Y10" s="18">
        <f>($R10*$B$2*3.6)/Y$1</f>
        <v>28.617721518987342</v>
      </c>
      <c r="Z10" s="18">
        <f>($R10*$B$2*3.6)/Z$1</f>
        <v>33.247058823529407</v>
      </c>
      <c r="AA10" s="18">
        <f>($R10*$B$2*3.6)/AA$1</f>
        <v>37.996638655462185</v>
      </c>
    </row>
    <row r="11" spans="1:27" ht="12.75" x14ac:dyDescent="0.2">
      <c r="R11" s="16">
        <f t="shared" si="1"/>
        <v>15</v>
      </c>
      <c r="S11" s="5">
        <v>900</v>
      </c>
      <c r="T11" s="18">
        <f>(R11*$B$2*3.6)/$T$1</f>
        <v>16.046687697160884</v>
      </c>
      <c r="U11" s="18">
        <f>($R11*$B$2*3.6)/U$1</f>
        <v>18.770479704797047</v>
      </c>
      <c r="V11" s="18">
        <f>($R11*$B$2*3.6)/V$1</f>
        <v>21.373109243697481</v>
      </c>
      <c r="W11" s="18">
        <f>($R11*$B$2*3.6)/W$1</f>
        <v>24.108056872037917</v>
      </c>
      <c r="X11" s="18">
        <f>($R11*$B$2*3.6)/X$1</f>
        <v>28.103867403314919</v>
      </c>
      <c r="Y11" s="18">
        <f>($R11*$B$2*3.6)/Y$1</f>
        <v>32.194936708860759</v>
      </c>
      <c r="Z11" s="18">
        <f>($R11*$B$2*3.6)/Z$1</f>
        <v>37.402941176470584</v>
      </c>
      <c r="AA11" s="18">
        <f>($R11*$B$2*3.6)/AA$1</f>
        <v>42.746218487394962</v>
      </c>
    </row>
    <row r="12" spans="1:27" ht="12.75" x14ac:dyDescent="0.2">
      <c r="A12" s="30"/>
      <c r="B12" s="32"/>
      <c r="C12" s="36"/>
      <c r="R12" s="20">
        <f t="shared" si="1"/>
        <v>16.666666666666668</v>
      </c>
      <c r="S12" s="26">
        <v>1000</v>
      </c>
      <c r="T12" s="21">
        <f>(R12*$B$2*3.6)/$T$1</f>
        <v>17.829652996845429</v>
      </c>
      <c r="U12" s="21">
        <f>($R12*$B$2*3.6)/U$1</f>
        <v>20.856088560885613</v>
      </c>
      <c r="V12" s="21">
        <f>($R12*$B$2*3.6)/V$1</f>
        <v>23.74789915966387</v>
      </c>
      <c r="W12" s="21">
        <f>($R12*$B$2*3.6)/W$1</f>
        <v>26.78672985781991</v>
      </c>
      <c r="X12" s="21">
        <f>($R12*$B$2*3.6)/X$1</f>
        <v>31.22651933701658</v>
      </c>
      <c r="Y12" s="21">
        <f>($R12*$B$2*3.6)/Y$1</f>
        <v>35.77215189873418</v>
      </c>
      <c r="Z12" s="21">
        <f>($R12*$B$2*3.6)/Z$1</f>
        <v>41.558823529411768</v>
      </c>
      <c r="AA12" s="21">
        <f>($R12*$B$2*3.6)/AA$1</f>
        <v>47.49579831932774</v>
      </c>
    </row>
    <row r="13" spans="1:27" ht="12.75" x14ac:dyDescent="0.2">
      <c r="A13" s="30"/>
      <c r="B13" s="31"/>
      <c r="C13" s="36"/>
      <c r="R13" s="16">
        <f t="shared" si="1"/>
        <v>18.333333333333332</v>
      </c>
      <c r="S13" s="5">
        <v>1100</v>
      </c>
      <c r="T13" s="18">
        <f>(R13*$B$2*3.6)/$T$1</f>
        <v>19.612618296529966</v>
      </c>
      <c r="U13" s="18">
        <f>($R13*$B$2*3.6)/U$1</f>
        <v>22.941697416974169</v>
      </c>
      <c r="V13" s="18">
        <f>($R13*$B$2*3.6)/V$1</f>
        <v>26.122689075630252</v>
      </c>
      <c r="W13" s="18">
        <f>($R13*$B$2*3.6)/W$1</f>
        <v>29.465402843601897</v>
      </c>
      <c r="X13" s="18">
        <f>($R13*$B$2*3.6)/X$1</f>
        <v>34.34917127071823</v>
      </c>
      <c r="Y13" s="18">
        <f>($R13*$B$2*3.6)/Y$1</f>
        <v>39.349367088607593</v>
      </c>
      <c r="Z13" s="18">
        <f>($R13*$B$2*3.6)/Z$1</f>
        <v>45.714705882352938</v>
      </c>
      <c r="AA13" s="18">
        <f>($R13*$B$2*3.6)/AA$1</f>
        <v>52.245378151260503</v>
      </c>
    </row>
    <row r="14" spans="1:27" ht="12.75" x14ac:dyDescent="0.2">
      <c r="R14" s="16">
        <f t="shared" si="1"/>
        <v>20</v>
      </c>
      <c r="S14" s="5">
        <v>1200</v>
      </c>
      <c r="T14" s="18">
        <f>(R14*$B$2*3.6)/$T$1</f>
        <v>21.395583596214511</v>
      </c>
      <c r="U14" s="18">
        <f>($R14*$B$2*3.6)/U$1</f>
        <v>25.027306273062731</v>
      </c>
      <c r="V14" s="18">
        <f>($R14*$B$2*3.6)/V$1</f>
        <v>28.49747899159664</v>
      </c>
      <c r="W14" s="18">
        <f>($R14*$B$2*3.6)/W$1</f>
        <v>32.144075829383887</v>
      </c>
      <c r="X14" s="18">
        <f>($R14*$B$2*3.6)/X$1</f>
        <v>37.471823204419884</v>
      </c>
      <c r="Y14" s="18">
        <f>($R14*$B$2*3.6)/Y$1</f>
        <v>42.926582278481007</v>
      </c>
      <c r="Z14" s="18">
        <f>($R14*$B$2*3.6)/Z$1</f>
        <v>49.870588235294115</v>
      </c>
      <c r="AA14" s="18">
        <f>($R14*$B$2*3.6)/AA$1</f>
        <v>56.994957983193281</v>
      </c>
    </row>
    <row r="15" spans="1:27" ht="12.75" x14ac:dyDescent="0.2">
      <c r="R15" s="16">
        <f t="shared" si="1"/>
        <v>21.666666666666668</v>
      </c>
      <c r="S15" s="5">
        <v>1300</v>
      </c>
      <c r="T15" s="18">
        <f>(R15*$B$2*3.6)/$T$1</f>
        <v>23.178548895899059</v>
      </c>
      <c r="U15" s="18">
        <f>($R15*$B$2*3.6)/U$1</f>
        <v>27.112915129151297</v>
      </c>
      <c r="V15" s="18">
        <f>($R15*$B$2*3.6)/V$1</f>
        <v>30.872268907563033</v>
      </c>
      <c r="W15" s="18">
        <f>($R15*$B$2*3.6)/W$1</f>
        <v>34.822748815165887</v>
      </c>
      <c r="X15" s="18">
        <f>($R15*$B$2*3.6)/X$1</f>
        <v>40.594475138121553</v>
      </c>
      <c r="Y15" s="18">
        <f>($R15*$B$2*3.6)/Y$1</f>
        <v>46.503797468354435</v>
      </c>
      <c r="Z15" s="18">
        <f>($R15*$B$2*3.6)/Z$1</f>
        <v>54.026470588235298</v>
      </c>
      <c r="AA15" s="18">
        <f>($R15*$B$2*3.6)/AA$1</f>
        <v>61.744537815126066</v>
      </c>
    </row>
    <row r="16" spans="1:27" ht="12.75" x14ac:dyDescent="0.2">
      <c r="A16" s="30"/>
      <c r="B16" s="32"/>
      <c r="C16" s="36"/>
      <c r="R16" s="16">
        <f t="shared" si="1"/>
        <v>23.333333333333332</v>
      </c>
      <c r="S16" s="5">
        <v>1400</v>
      </c>
      <c r="T16" s="18">
        <f>(R16*$B$2*3.6)/$T$1</f>
        <v>24.961514195583597</v>
      </c>
      <c r="U16" s="18">
        <f>($R16*$B$2*3.6)/U$1</f>
        <v>29.198523985239852</v>
      </c>
      <c r="V16" s="18">
        <f>($R16*$B$2*3.6)/V$1</f>
        <v>33.247058823529414</v>
      </c>
      <c r="W16" s="18">
        <f>($R16*$B$2*3.6)/W$1</f>
        <v>37.501421800947867</v>
      </c>
      <c r="X16" s="18">
        <f>($R16*$B$2*3.6)/X$1</f>
        <v>43.717127071823207</v>
      </c>
      <c r="Y16" s="18">
        <f>($R16*$B$2*3.6)/Y$1</f>
        <v>50.081012658227849</v>
      </c>
      <c r="Z16" s="18">
        <f>($R16*$B$2*3.6)/Z$1</f>
        <v>58.182352941176468</v>
      </c>
      <c r="AA16" s="18">
        <f>($R16*$B$2*3.6)/AA$1</f>
        <v>66.494117647058829</v>
      </c>
    </row>
    <row r="17" spans="1:27" ht="12.75" x14ac:dyDescent="0.2">
      <c r="A17" s="30"/>
      <c r="B17" s="32"/>
      <c r="C17" s="36"/>
      <c r="R17" s="16">
        <f t="shared" si="1"/>
        <v>25</v>
      </c>
      <c r="S17" s="5">
        <v>1500</v>
      </c>
      <c r="T17" s="18">
        <f>(R17*$B$2*3.6)/$T$1</f>
        <v>26.744479495268141</v>
      </c>
      <c r="U17" s="18">
        <f>($R17*$B$2*3.6)/U$1</f>
        <v>31.284132841328415</v>
      </c>
      <c r="V17" s="18">
        <f>($R17*$B$2*3.6)/V$1</f>
        <v>35.621848739495803</v>
      </c>
      <c r="W17" s="18">
        <f>($R17*$B$2*3.6)/W$1</f>
        <v>40.18009478672986</v>
      </c>
      <c r="X17" s="18">
        <f>($R17*$B$2*3.6)/X$1</f>
        <v>46.839779005524861</v>
      </c>
      <c r="Y17" s="18">
        <f>($R17*$B$2*3.6)/Y$1</f>
        <v>53.658227848101262</v>
      </c>
      <c r="Z17" s="18">
        <f>($R17*$B$2*3.6)/Z$1</f>
        <v>62.338235294117645</v>
      </c>
      <c r="AA17" s="18">
        <f>($R17*$B$2*3.6)/AA$1</f>
        <v>71.243697478991606</v>
      </c>
    </row>
    <row r="18" spans="1:27" ht="12.75" x14ac:dyDescent="0.2">
      <c r="A18" s="30"/>
      <c r="B18" s="31"/>
      <c r="C18" s="36"/>
      <c r="R18" s="16">
        <f t="shared" si="1"/>
        <v>26.666666666666668</v>
      </c>
      <c r="S18" s="5">
        <v>1600</v>
      </c>
      <c r="T18" s="18">
        <f>(R18*$B$2*3.6)/$T$1</f>
        <v>28.527444794952682</v>
      </c>
      <c r="U18" s="18">
        <f>($R18*$B$2*3.6)/U$1</f>
        <v>33.369741697416977</v>
      </c>
      <c r="V18" s="18">
        <f>($R18*$B$2*3.6)/V$1</f>
        <v>37.996638655462185</v>
      </c>
      <c r="W18" s="18">
        <f>($R18*$B$2*3.6)/W$1</f>
        <v>42.858767772511854</v>
      </c>
      <c r="X18" s="18">
        <f>($R18*$B$2*3.6)/X$1</f>
        <v>49.962430939226522</v>
      </c>
      <c r="Y18" s="18">
        <f>($R18*$B$2*3.6)/Y$1</f>
        <v>57.235443037974683</v>
      </c>
      <c r="Z18" s="18">
        <f>($R18*$B$2*3.6)/Z$1</f>
        <v>66.494117647058815</v>
      </c>
      <c r="AA18" s="18">
        <f>($R18*$B$2*3.6)/AA$1</f>
        <v>75.99327731092437</v>
      </c>
    </row>
    <row r="19" spans="1:27" ht="12.75" x14ac:dyDescent="0.2">
      <c r="A19" s="34" t="s">
        <v>21</v>
      </c>
      <c r="B19" s="5" t="s">
        <v>6</v>
      </c>
      <c r="C19" s="35" t="s">
        <v>19</v>
      </c>
      <c r="D19" s="37" t="s">
        <v>20</v>
      </c>
      <c r="R19" s="16">
        <f t="shared" si="1"/>
        <v>28.333333333333332</v>
      </c>
      <c r="S19" s="5">
        <v>1700</v>
      </c>
      <c r="T19" s="18">
        <f>(R19*$B$2*3.6)/$T$1</f>
        <v>30.310410094637227</v>
      </c>
      <c r="U19" s="18">
        <f>($R19*$B$2*3.6)/U$1</f>
        <v>35.455350553505539</v>
      </c>
      <c r="V19" s="18">
        <f>($R19*$B$2*3.6)/V$1</f>
        <v>40.371428571428574</v>
      </c>
      <c r="W19" s="18">
        <f>($R19*$B$2*3.6)/W$1</f>
        <v>45.53744075829384</v>
      </c>
      <c r="X19" s="18">
        <f>($R19*$B$2*3.6)/X$1</f>
        <v>53.085082872928176</v>
      </c>
      <c r="Y19" s="18">
        <f>($R19*$B$2*3.6)/Y$1</f>
        <v>60.812658227848104</v>
      </c>
      <c r="Z19" s="18">
        <f>($R19*$B$2*3.6)/Z$1</f>
        <v>70.649999999999991</v>
      </c>
      <c r="AA19" s="18">
        <f>($R19*$B$2*3.6)/AA$1</f>
        <v>80.742857142857147</v>
      </c>
    </row>
    <row r="20" spans="1:27" ht="12.75" x14ac:dyDescent="0.2">
      <c r="A20" s="30">
        <f>(5252 * $D$20)/B20</f>
        <v>8.9096428571428579</v>
      </c>
      <c r="B20" s="31">
        <v>2800</v>
      </c>
      <c r="C20" s="36">
        <f>A20*1.3558179483314</f>
        <v>12.079853698936942</v>
      </c>
      <c r="D20" s="33">
        <v>4.75</v>
      </c>
      <c r="R20" s="16">
        <f t="shared" si="1"/>
        <v>30</v>
      </c>
      <c r="S20" s="5">
        <v>1800</v>
      </c>
      <c r="T20" s="18">
        <f>(R20*$B$2*3.6)/$T$1</f>
        <v>32.093375394321768</v>
      </c>
      <c r="U20" s="18">
        <f>($R20*$B$2*3.6)/U$1</f>
        <v>37.540959409594095</v>
      </c>
      <c r="V20" s="18">
        <f>($R20*$B$2*3.6)/V$1</f>
        <v>42.746218487394962</v>
      </c>
      <c r="W20" s="18">
        <f>($R20*$B$2*3.6)/W$1</f>
        <v>48.216113744075834</v>
      </c>
      <c r="X20" s="18">
        <f>($R20*$B$2*3.6)/X$1</f>
        <v>56.207734806629837</v>
      </c>
      <c r="Y20" s="18">
        <f>($R20*$B$2*3.6)/Y$1</f>
        <v>64.389873417721518</v>
      </c>
      <c r="Z20" s="18">
        <f>($R20*$B$2*3.6)/Z$1</f>
        <v>74.805882352941168</v>
      </c>
      <c r="AA20" s="18">
        <f>($R20*$B$2*3.6)/AA$1</f>
        <v>85.492436974789925</v>
      </c>
    </row>
    <row r="21" spans="1:27" ht="12.75" x14ac:dyDescent="0.2">
      <c r="A21" s="30"/>
      <c r="B21" s="32"/>
      <c r="C21" s="36"/>
      <c r="R21" s="16">
        <f t="shared" si="1"/>
        <v>31.666666666666668</v>
      </c>
      <c r="S21" s="5">
        <v>1900</v>
      </c>
      <c r="T21" s="18">
        <f>(R21*$B$2*3.6)/$T$1</f>
        <v>33.876340694006309</v>
      </c>
      <c r="U21" s="18">
        <f>($R21*$B$2*3.6)/U$1</f>
        <v>39.626568265682657</v>
      </c>
      <c r="V21" s="18">
        <f>($R21*$B$2*3.6)/V$1</f>
        <v>45.121008403361351</v>
      </c>
      <c r="W21" s="18">
        <f>($R21*$B$2*3.6)/W$1</f>
        <v>50.894786729857827</v>
      </c>
      <c r="X21" s="18">
        <f>($R21*$B$2*3.6)/X$1</f>
        <v>59.330386740331491</v>
      </c>
      <c r="Y21" s="18">
        <f>($R21*$B$2*3.6)/Y$1</f>
        <v>67.967088607594931</v>
      </c>
      <c r="Z21" s="18">
        <f>($R21*$B$2*3.6)/Z$1</f>
        <v>78.961764705882345</v>
      </c>
      <c r="AA21" s="18">
        <f>($R21*$B$2*3.6)/AA$1</f>
        <v>90.242016806722702</v>
      </c>
    </row>
    <row r="22" spans="1:27" ht="12.75" x14ac:dyDescent="0.2">
      <c r="A22" s="30"/>
      <c r="B22" s="32"/>
      <c r="C22" s="36"/>
      <c r="R22" s="20">
        <f t="shared" si="1"/>
        <v>33.333333333333336</v>
      </c>
      <c r="S22" s="26">
        <v>2000</v>
      </c>
      <c r="T22" s="21">
        <f>(R22*$B$2*3.6)/$T$1</f>
        <v>35.659305993690857</v>
      </c>
      <c r="U22" s="21">
        <f>($R22*$B$2*3.6)/U$1</f>
        <v>41.712177121771226</v>
      </c>
      <c r="V22" s="21">
        <f>($R22*$B$2*3.6)/V$1</f>
        <v>47.49579831932774</v>
      </c>
      <c r="W22" s="21">
        <f>($R22*$B$2*3.6)/W$1</f>
        <v>53.573459715639821</v>
      </c>
      <c r="X22" s="21">
        <f>($R22*$B$2*3.6)/X$1</f>
        <v>62.453038674033159</v>
      </c>
      <c r="Y22" s="21">
        <f>($R22*$B$2*3.6)/Y$1</f>
        <v>71.544303797468359</v>
      </c>
      <c r="Z22" s="21">
        <f>($R22*$B$2*3.6)/Z$1</f>
        <v>83.117647058823536</v>
      </c>
      <c r="AA22" s="21">
        <f>($R22*$B$2*3.6)/AA$1</f>
        <v>94.99159663865548</v>
      </c>
    </row>
    <row r="23" spans="1:27" ht="12.75" x14ac:dyDescent="0.2">
      <c r="A23" s="30"/>
      <c r="B23" s="31"/>
      <c r="C23" s="36"/>
      <c r="R23" s="16">
        <f t="shared" si="1"/>
        <v>35</v>
      </c>
      <c r="S23" s="5">
        <v>2100</v>
      </c>
      <c r="T23" s="18">
        <f>(R23*$B$2*3.6)/$T$1</f>
        <v>37.442271293375391</v>
      </c>
      <c r="U23" s="18">
        <f>($R23*$B$2*3.6)/U$1</f>
        <v>43.797785977859775</v>
      </c>
      <c r="V23" s="18">
        <f>($R23*$B$2*3.6)/V$1</f>
        <v>49.870588235294115</v>
      </c>
      <c r="W23" s="18">
        <f>($R23*$B$2*3.6)/W$1</f>
        <v>56.2521327014218</v>
      </c>
      <c r="X23" s="18">
        <f>($R23*$B$2*3.6)/X$1</f>
        <v>65.575690607734799</v>
      </c>
      <c r="Y23" s="18">
        <f>($R23*$B$2*3.6)/Y$1</f>
        <v>75.121518987341759</v>
      </c>
      <c r="Z23" s="18">
        <f>($R23*$B$2*3.6)/Z$1</f>
        <v>87.273529411764699</v>
      </c>
      <c r="AA23" s="18">
        <f>($R23*$B$2*3.6)/AA$1</f>
        <v>99.741176470588229</v>
      </c>
    </row>
    <row r="24" spans="1:27" ht="12.75" x14ac:dyDescent="0.2">
      <c r="A24" s="34" t="s">
        <v>21</v>
      </c>
      <c r="B24" s="5" t="s">
        <v>6</v>
      </c>
      <c r="C24" s="35" t="s">
        <v>19</v>
      </c>
      <c r="D24" s="37" t="s">
        <v>20</v>
      </c>
      <c r="R24" s="16">
        <f t="shared" si="1"/>
        <v>36.666666666666664</v>
      </c>
      <c r="S24" s="5">
        <v>2200</v>
      </c>
      <c r="T24" s="18">
        <f>(R24*$B$2*3.6)/$T$1</f>
        <v>39.225236593059932</v>
      </c>
      <c r="U24" s="18">
        <f>($R24*$B$2*3.6)/U$1</f>
        <v>45.883394833948337</v>
      </c>
      <c r="V24" s="18">
        <f>($R24*$B$2*3.6)/V$1</f>
        <v>52.245378151260503</v>
      </c>
      <c r="W24" s="18">
        <f>($R24*$B$2*3.6)/W$1</f>
        <v>58.930805687203794</v>
      </c>
      <c r="X24" s="18">
        <f>($R24*$B$2*3.6)/X$1</f>
        <v>68.69834254143646</v>
      </c>
      <c r="Y24" s="18">
        <f>($R24*$B$2*3.6)/Y$1</f>
        <v>78.698734177215186</v>
      </c>
      <c r="Z24" s="18">
        <f>($R24*$B$2*3.6)/Z$1</f>
        <v>91.429411764705875</v>
      </c>
      <c r="AA24" s="18">
        <f>($R24*$B$2*3.6)/AA$1</f>
        <v>104.49075630252101</v>
      </c>
    </row>
    <row r="25" spans="1:27" ht="14.25" x14ac:dyDescent="0.2">
      <c r="A25" s="30">
        <f>(5252 *$D$25)/B25</f>
        <v>10.316428571428572</v>
      </c>
      <c r="B25" s="31">
        <v>2800</v>
      </c>
      <c r="C25" s="36">
        <f>A25 * 1.3558179483314</f>
        <v>13.987199019821722</v>
      </c>
      <c r="D25" s="39">
        <v>5.5</v>
      </c>
      <c r="R25" s="16">
        <f t="shared" si="1"/>
        <v>38.333333333333336</v>
      </c>
      <c r="S25" s="5">
        <v>2300</v>
      </c>
      <c r="T25" s="18">
        <f>(R25*$B$2*3.6)/$T$1</f>
        <v>41.008201892744495</v>
      </c>
      <c r="U25" s="18">
        <f>($R25*$B$2*3.6)/U$1</f>
        <v>47.969003690036914</v>
      </c>
      <c r="V25" s="18">
        <f>($R25*$B$2*3.6)/V$1</f>
        <v>54.620168067226906</v>
      </c>
      <c r="W25" s="18">
        <f>($R25*$B$2*3.6)/W$1</f>
        <v>61.609478672985801</v>
      </c>
      <c r="X25" s="18">
        <f>($R25*$B$2*3.6)/X$1</f>
        <v>71.820994475138136</v>
      </c>
      <c r="Y25" s="18">
        <f>($R25*$B$2*3.6)/Y$1</f>
        <v>82.275949367088629</v>
      </c>
      <c r="Z25" s="18">
        <f>($R25*$B$2*3.6)/Z$1</f>
        <v>95.585294117647081</v>
      </c>
      <c r="AA25" s="18">
        <f>($R25*$B$2*3.6)/AA$1</f>
        <v>109.24033613445381</v>
      </c>
    </row>
    <row r="26" spans="1:27" ht="12.75" x14ac:dyDescent="0.2">
      <c r="A26" s="30"/>
      <c r="B26" s="32"/>
      <c r="C26" s="36"/>
      <c r="R26" s="16">
        <f t="shared" si="1"/>
        <v>40</v>
      </c>
      <c r="S26" s="5">
        <v>2400</v>
      </c>
      <c r="T26" s="18">
        <f>(R26*$B$2*3.6)/$T$1</f>
        <v>42.791167192429022</v>
      </c>
      <c r="U26" s="18">
        <f>($R26*$B$2*3.6)/U$1</f>
        <v>50.054612546125462</v>
      </c>
      <c r="V26" s="18">
        <f>($R26*$B$2*3.6)/V$1</f>
        <v>56.994957983193281</v>
      </c>
      <c r="W26" s="18">
        <f>($R26*$B$2*3.6)/W$1</f>
        <v>64.288151658767774</v>
      </c>
      <c r="X26" s="18">
        <f>($R26*$B$2*3.6)/X$1</f>
        <v>74.943646408839768</v>
      </c>
      <c r="Y26" s="18">
        <f>($R26*$B$2*3.6)/Y$1</f>
        <v>85.853164556962014</v>
      </c>
      <c r="Z26" s="18">
        <f>($R26*$B$2*3.6)/Z$1</f>
        <v>99.741176470588229</v>
      </c>
      <c r="AA26" s="18">
        <f>($R26*$B$2*3.6)/AA$1</f>
        <v>113.98991596638656</v>
      </c>
    </row>
    <row r="27" spans="1:27" ht="12.75" x14ac:dyDescent="0.2">
      <c r="A27" s="30"/>
      <c r="B27" s="32"/>
      <c r="C27" s="36"/>
      <c r="R27" s="16">
        <f t="shared" si="1"/>
        <v>41.666666666666664</v>
      </c>
      <c r="S27" s="5">
        <v>2500</v>
      </c>
      <c r="T27" s="18">
        <f>(R27*$B$2*3.6)/$T$1</f>
        <v>44.57413249211357</v>
      </c>
      <c r="U27" s="18">
        <f>($R27*$B$2*3.6)/U$1</f>
        <v>52.140221402214024</v>
      </c>
      <c r="V27" s="18">
        <f>($R27*$B$2*3.6)/V$1</f>
        <v>59.36974789915967</v>
      </c>
      <c r="W27" s="18">
        <f>($R27*$B$2*3.6)/W$1</f>
        <v>66.966824644549774</v>
      </c>
      <c r="X27" s="18">
        <f>($R27*$B$2*3.6)/X$1</f>
        <v>78.066298342541444</v>
      </c>
      <c r="Y27" s="18">
        <f>($R27*$B$2*3.6)/Y$1</f>
        <v>89.430379746835442</v>
      </c>
      <c r="Z27" s="18">
        <f>($R27*$B$2*3.6)/Z$1</f>
        <v>103.89705882352941</v>
      </c>
      <c r="AA27" s="18">
        <f>($R27*$B$2*3.6)/AA$1</f>
        <v>118.73949579831934</v>
      </c>
    </row>
    <row r="28" spans="1:27" ht="12.75" x14ac:dyDescent="0.2">
      <c r="A28" s="30"/>
      <c r="B28" s="31"/>
      <c r="C28" s="36"/>
      <c r="R28" s="16">
        <f t="shared" si="1"/>
        <v>43.333333333333336</v>
      </c>
      <c r="S28" s="5">
        <v>2600</v>
      </c>
      <c r="T28" s="18">
        <f>(R28*$B$2*3.6)/$T$1</f>
        <v>46.357097791798118</v>
      </c>
      <c r="U28" s="18">
        <f>($R28*$B$2*3.6)/U$1</f>
        <v>54.225830258302594</v>
      </c>
      <c r="V28" s="18">
        <f>($R28*$B$2*3.6)/V$1</f>
        <v>61.744537815126066</v>
      </c>
      <c r="W28" s="18">
        <f>($R28*$B$2*3.6)/W$1</f>
        <v>69.645497630331775</v>
      </c>
      <c r="X28" s="18">
        <f>($R28*$B$2*3.6)/X$1</f>
        <v>81.188950276243105</v>
      </c>
      <c r="Y28" s="18">
        <f>($R28*$B$2*3.6)/Y$1</f>
        <v>93.00759493670887</v>
      </c>
      <c r="Z28" s="18">
        <f>($R28*$B$2*3.6)/Z$1</f>
        <v>108.0529411764706</v>
      </c>
      <c r="AA28" s="18">
        <f>($R28*$B$2*3.6)/AA$1</f>
        <v>123.48907563025213</v>
      </c>
    </row>
    <row r="29" spans="1:27" ht="12.75" x14ac:dyDescent="0.2">
      <c r="A29" s="30"/>
      <c r="B29" s="32"/>
      <c r="C29" s="36"/>
      <c r="R29" s="16">
        <f t="shared" si="1"/>
        <v>45</v>
      </c>
      <c r="S29" s="5">
        <v>2700</v>
      </c>
      <c r="T29" s="18">
        <f>(R29*$B$2*3.6)/$T$1</f>
        <v>48.140063091482652</v>
      </c>
      <c r="U29" s="18">
        <f>($R29*$B$2*3.6)/U$1</f>
        <v>56.311439114391149</v>
      </c>
      <c r="V29" s="18">
        <f>($R29*$B$2*3.6)/V$1</f>
        <v>64.11932773109244</v>
      </c>
      <c r="W29" s="18">
        <f>($R29*$B$2*3.6)/W$1</f>
        <v>72.324170616113761</v>
      </c>
      <c r="X29" s="18">
        <f>($R29*$B$2*3.6)/X$1</f>
        <v>84.311602209944752</v>
      </c>
      <c r="Y29" s="18">
        <f>($R29*$B$2*3.6)/Y$1</f>
        <v>96.584810126582283</v>
      </c>
      <c r="Z29" s="18">
        <f>($R29*$B$2*3.6)/Z$1</f>
        <v>112.20882352941176</v>
      </c>
      <c r="AA29" s="18">
        <f>($R29*$B$2*3.6)/AA$1</f>
        <v>128.23865546218488</v>
      </c>
    </row>
    <row r="30" spans="1:27" ht="12.75" x14ac:dyDescent="0.2">
      <c r="A30" s="30"/>
      <c r="B30" s="31"/>
      <c r="C30" s="36"/>
      <c r="R30" s="16">
        <f t="shared" si="1"/>
        <v>46.666666666666664</v>
      </c>
      <c r="S30" s="5">
        <v>2800</v>
      </c>
      <c r="T30" s="18">
        <f>(R30*$B$2*3.6)/$T$1</f>
        <v>49.923028391167193</v>
      </c>
      <c r="U30" s="18">
        <f>($R30*$B$2*3.6)/U$1</f>
        <v>58.397047970479704</v>
      </c>
      <c r="V30" s="18">
        <f>($R30*$B$2*3.6)/V$1</f>
        <v>66.494117647058829</v>
      </c>
      <c r="W30" s="18">
        <f>($R30*$B$2*3.6)/W$1</f>
        <v>75.002843601895734</v>
      </c>
      <c r="X30" s="18">
        <f>($R30*$B$2*3.6)/X$1</f>
        <v>87.434254143646413</v>
      </c>
      <c r="Y30" s="18">
        <f>($R30*$B$2*3.6)/Y$1</f>
        <v>100.1620253164557</v>
      </c>
      <c r="Z30" s="18">
        <f>($R30*$B$2*3.6)/Z$1</f>
        <v>116.36470588235294</v>
      </c>
      <c r="AA30" s="18">
        <f>($R30*$B$2*3.6)/AA$1</f>
        <v>132.98823529411766</v>
      </c>
    </row>
    <row r="31" spans="1:27" ht="13.5" thickBot="1" x14ac:dyDescent="0.25">
      <c r="A31" s="30"/>
      <c r="B31" s="32"/>
      <c r="C31" s="36"/>
      <c r="R31" s="16">
        <f t="shared" si="1"/>
        <v>48.333333333333336</v>
      </c>
      <c r="S31" s="5">
        <v>2900</v>
      </c>
      <c r="T31" s="18">
        <f>(R31*$B$2*3.6)/$T$1</f>
        <v>51.705993690851749</v>
      </c>
      <c r="U31" s="18">
        <f>($R31*$B$2*3.6)/U$1</f>
        <v>60.482656826568281</v>
      </c>
      <c r="V31" s="18">
        <f>($R31*$B$2*3.6)/V$1</f>
        <v>68.868907563025232</v>
      </c>
      <c r="W31" s="18">
        <f>($R31*$B$2*3.6)/W$1</f>
        <v>77.681516587677748</v>
      </c>
      <c r="X31" s="18">
        <f>($R31*$B$2*3.6)/X$1</f>
        <v>90.556906077348089</v>
      </c>
      <c r="Y31" s="18">
        <f>($R31*$B$2*3.6)/Y$1</f>
        <v>103.73924050632914</v>
      </c>
      <c r="Z31" s="18">
        <f>($R31*$B$2*3.6)/Z$1</f>
        <v>120.52058823529414</v>
      </c>
      <c r="AA31" s="18">
        <f>($R31*$B$2*3.6)/AA$1</f>
        <v>137.73781512605046</v>
      </c>
    </row>
    <row r="32" spans="1:27" thickTop="1" thickBot="1" x14ac:dyDescent="0.25">
      <c r="A32" s="40" t="s">
        <v>24</v>
      </c>
      <c r="B32" s="41" t="s">
        <v>22</v>
      </c>
      <c r="C32" s="42" t="s">
        <v>25</v>
      </c>
      <c r="D32" s="44" t="s">
        <v>27</v>
      </c>
      <c r="E32" s="48" t="s">
        <v>26</v>
      </c>
      <c r="F32" s="45" t="s">
        <v>23</v>
      </c>
      <c r="G32" s="50" t="s">
        <v>31</v>
      </c>
      <c r="H32" s="38" t="s">
        <v>28</v>
      </c>
      <c r="I32" s="51" t="s">
        <v>29</v>
      </c>
      <c r="J32" s="52" t="s">
        <v>30</v>
      </c>
      <c r="R32" s="20">
        <f t="shared" si="1"/>
        <v>50</v>
      </c>
      <c r="S32" s="26">
        <v>3000</v>
      </c>
      <c r="T32" s="21">
        <f>(R32*$B$2*3.6)/$T$1</f>
        <v>53.488958990536283</v>
      </c>
      <c r="U32" s="21">
        <f>($R32*$B$2*3.6)/U$1</f>
        <v>62.568265682656829</v>
      </c>
      <c r="V32" s="21">
        <f>($R32*$B$2*3.6)/V$1</f>
        <v>71.243697478991606</v>
      </c>
      <c r="W32" s="21">
        <f>($R32*$B$2*3.6)/W$1</f>
        <v>80.360189573459721</v>
      </c>
      <c r="X32" s="21">
        <f>($R32*$B$2*3.6)/X$1</f>
        <v>93.679558011049721</v>
      </c>
      <c r="Y32" s="21">
        <f>($R32*$B$2*3.6)/Y$1</f>
        <v>107.31645569620252</v>
      </c>
      <c r="Z32" s="21">
        <f>($R32*$B$2*3.6)/Z$1</f>
        <v>124.67647058823529</v>
      </c>
      <c r="AA32" s="21">
        <f>($R32*$B$2*3.6)/AA$1</f>
        <v>142.48739495798321</v>
      </c>
    </row>
    <row r="33" spans="1:27" ht="13.5" thickTop="1" x14ac:dyDescent="0.2">
      <c r="A33" s="49">
        <v>1</v>
      </c>
      <c r="B33" s="32">
        <v>110</v>
      </c>
      <c r="C33" s="36">
        <f>(T8*1000)/3600</f>
        <v>2.9716088328075707</v>
      </c>
      <c r="D33" s="43">
        <f>E33*$B$2</f>
        <v>32.7221052631579</v>
      </c>
      <c r="E33" s="46">
        <f>(A33*B33)/$F$33</f>
        <v>34.736842105263158</v>
      </c>
      <c r="F33" s="47">
        <v>3.1666666666666665</v>
      </c>
      <c r="G33" s="36">
        <f>(C20*F33)/(B33*B2)</f>
        <v>0.36916493000032469</v>
      </c>
      <c r="H33">
        <v>1</v>
      </c>
      <c r="I33" s="36">
        <f>$G$33*H33</f>
        <v>0.36916493000032469</v>
      </c>
      <c r="J33" s="36">
        <f>I33*3600/1000</f>
        <v>1.3289937480011689</v>
      </c>
      <c r="R33" s="16">
        <f t="shared" si="1"/>
        <v>51.666666666666664</v>
      </c>
      <c r="S33" s="5">
        <v>3100</v>
      </c>
      <c r="T33" s="18">
        <f>(R33*$B$2*3.6)/$T$1</f>
        <v>55.271924290220824</v>
      </c>
      <c r="U33" s="18">
        <f>($R33*$B$2*3.6)/U$1</f>
        <v>64.653874538745399</v>
      </c>
      <c r="V33" s="18">
        <f>($R33*$B$2*3.6)/V$1</f>
        <v>73.618487394957995</v>
      </c>
      <c r="W33" s="18">
        <f>($R33*$B$2*3.6)/W$1</f>
        <v>83.038862559241721</v>
      </c>
      <c r="X33" s="18">
        <f>($R33*$B$2*3.6)/X$1</f>
        <v>96.802209944751382</v>
      </c>
      <c r="Y33" s="18">
        <f>($R33*$B$2*3.6)/Y$1</f>
        <v>110.89367088607595</v>
      </c>
      <c r="Z33" s="18">
        <f>($R33*$B$2*3.6)/Z$1</f>
        <v>128.83235294117648</v>
      </c>
      <c r="AA33" s="18">
        <f>($R33*$B$2*3.6)/AA$1</f>
        <v>147.23697478991599</v>
      </c>
    </row>
    <row r="34" spans="1:27" ht="12.75" x14ac:dyDescent="0.2">
      <c r="A34" s="30"/>
      <c r="B34" s="31"/>
      <c r="C34" s="36"/>
      <c r="E34" s="25"/>
      <c r="F34" s="47">
        <v>2.7142857142857144</v>
      </c>
      <c r="H34">
        <v>2</v>
      </c>
      <c r="I34" s="36">
        <f>$G$33*H34</f>
        <v>0.73832986000064937</v>
      </c>
      <c r="J34" s="36">
        <f>I34*3600/1000</f>
        <v>2.6579874960023377</v>
      </c>
      <c r="R34" s="16">
        <f t="shared" ref="R34:R65" si="2">S34/60</f>
        <v>53.333333333333336</v>
      </c>
      <c r="S34" s="5">
        <v>3200</v>
      </c>
      <c r="T34" s="18">
        <f>(R34*$B$2*3.6)/$T$1</f>
        <v>57.054889589905365</v>
      </c>
      <c r="U34" s="18">
        <f>($R34*$B$2*3.6)/U$1</f>
        <v>66.739483394833954</v>
      </c>
      <c r="V34" s="18">
        <f>($R34*$B$2*3.6)/V$1</f>
        <v>75.99327731092437</v>
      </c>
      <c r="W34" s="18">
        <f>($R34*$B$2*3.6)/W$1</f>
        <v>85.717535545023708</v>
      </c>
      <c r="X34" s="18">
        <f>($R34*$B$2*3.6)/X$1</f>
        <v>99.924861878453044</v>
      </c>
      <c r="Y34" s="18">
        <f>($R34*$B$2*3.6)/Y$1</f>
        <v>114.47088607594937</v>
      </c>
      <c r="Z34" s="18">
        <f>($R34*$B$2*3.6)/Z$1</f>
        <v>132.98823529411763</v>
      </c>
      <c r="AA34" s="18">
        <f>($R34*$B$2*3.6)/AA$1</f>
        <v>151.98655462184874</v>
      </c>
    </row>
    <row r="35" spans="1:27" ht="12.75" x14ac:dyDescent="0.2">
      <c r="A35" s="30"/>
      <c r="B35" s="32"/>
      <c r="C35" s="36"/>
      <c r="E35" s="25"/>
      <c r="F35" s="47">
        <v>2.375</v>
      </c>
      <c r="H35">
        <v>3</v>
      </c>
      <c r="I35" s="36">
        <f>$G$33*H35</f>
        <v>1.1074947900009739</v>
      </c>
      <c r="J35" s="36">
        <f>I35*3600/1000</f>
        <v>3.986981244003506</v>
      </c>
      <c r="R35" s="16">
        <f t="shared" si="2"/>
        <v>55</v>
      </c>
      <c r="S35" s="5">
        <v>3300</v>
      </c>
      <c r="T35" s="18">
        <f>(R35*$B$2*3.6)/$T$1</f>
        <v>58.837854889589913</v>
      </c>
      <c r="U35" s="18">
        <f>($R35*$B$2*3.6)/U$1</f>
        <v>68.825092250922523</v>
      </c>
      <c r="V35" s="18">
        <f>($R35*$B$2*3.6)/V$1</f>
        <v>78.368067226890773</v>
      </c>
      <c r="W35" s="18">
        <f>($R35*$B$2*3.6)/W$1</f>
        <v>88.396208530805708</v>
      </c>
      <c r="X35" s="18">
        <f>($R35*$B$2*3.6)/X$1</f>
        <v>103.0475138121547</v>
      </c>
      <c r="Y35" s="18">
        <f>($R35*$B$2*3.6)/Y$1</f>
        <v>118.04810126582279</v>
      </c>
      <c r="Z35" s="18">
        <f>($R35*$B$2*3.6)/Z$1</f>
        <v>137.14411764705883</v>
      </c>
      <c r="AA35" s="18">
        <f>($R35*$B$2*3.6)/AA$1</f>
        <v>156.73613445378155</v>
      </c>
    </row>
    <row r="36" spans="1:27" ht="12.75" x14ac:dyDescent="0.2">
      <c r="A36" s="30"/>
      <c r="B36" s="31"/>
      <c r="C36" s="36"/>
      <c r="E36" s="25"/>
      <c r="F36" s="47">
        <v>2.1111111111111112</v>
      </c>
      <c r="H36">
        <v>4</v>
      </c>
      <c r="I36" s="36">
        <f>$G$33*H36</f>
        <v>1.4766597200012987</v>
      </c>
      <c r="J36" s="36">
        <f>I36*3600/1000</f>
        <v>5.3159749920046755</v>
      </c>
      <c r="R36" s="16">
        <f t="shared" si="2"/>
        <v>56.666666666666664</v>
      </c>
      <c r="S36" s="5">
        <v>3400</v>
      </c>
      <c r="T36" s="18">
        <f>(R36*$B$2*3.6)/$T$1</f>
        <v>60.620820189274454</v>
      </c>
      <c r="U36" s="18">
        <f>($R36*$B$2*3.6)/U$1</f>
        <v>70.910701107011079</v>
      </c>
      <c r="V36" s="18">
        <f>($R36*$B$2*3.6)/V$1</f>
        <v>80.742857142857147</v>
      </c>
      <c r="W36" s="18">
        <f>($R36*$B$2*3.6)/W$1</f>
        <v>91.074881516587681</v>
      </c>
      <c r="X36" s="18">
        <f>($R36*$B$2*3.6)/X$1</f>
        <v>106.17016574585635</v>
      </c>
      <c r="Y36" s="18">
        <f>($R36*$B$2*3.6)/Y$1</f>
        <v>121.62531645569621</v>
      </c>
      <c r="Z36" s="18">
        <f>($R36*$B$2*3.6)/Z$1</f>
        <v>141.29999999999998</v>
      </c>
      <c r="AA36" s="18">
        <f>($R36*$B$2*3.6)/AA$1</f>
        <v>161.48571428571429</v>
      </c>
    </row>
    <row r="37" spans="1:27" ht="12.75" x14ac:dyDescent="0.2">
      <c r="A37" s="30"/>
      <c r="B37" s="32"/>
      <c r="C37" s="36"/>
      <c r="E37" s="25"/>
      <c r="F37" s="47">
        <v>1.8095238095238095</v>
      </c>
      <c r="H37">
        <v>5</v>
      </c>
      <c r="I37" s="36">
        <f>$G$33*H37</f>
        <v>1.8458246500016235</v>
      </c>
      <c r="J37" s="36">
        <f>I37*3600/1000</f>
        <v>6.6449687400058446</v>
      </c>
      <c r="R37" s="16">
        <f t="shared" si="2"/>
        <v>58.333333333333336</v>
      </c>
      <c r="S37" s="5">
        <v>3500</v>
      </c>
      <c r="T37" s="18">
        <f>(R37*$B$2*3.6)/$T$1</f>
        <v>62.403785488959002</v>
      </c>
      <c r="U37" s="18">
        <f>($R37*$B$2*3.6)/U$1</f>
        <v>72.996309963099634</v>
      </c>
      <c r="V37" s="18">
        <f>($R37*$B$2*3.6)/V$1</f>
        <v>83.117647058823536</v>
      </c>
      <c r="W37" s="18">
        <f>($R37*$B$2*3.6)/W$1</f>
        <v>93.753554502369681</v>
      </c>
      <c r="X37" s="18">
        <f>($R37*$B$2*3.6)/X$1</f>
        <v>109.29281767955801</v>
      </c>
      <c r="Y37" s="18">
        <f>($R37*$B$2*3.6)/Y$1</f>
        <v>125.20253164556962</v>
      </c>
      <c r="Z37" s="18">
        <f>($R37*$B$2*3.6)/Z$1</f>
        <v>145.45588235294119</v>
      </c>
      <c r="AA37" s="18">
        <f>($R37*$B$2*3.6)/AA$1</f>
        <v>166.23529411764707</v>
      </c>
    </row>
    <row r="38" spans="1:27" ht="12.75" x14ac:dyDescent="0.2">
      <c r="A38" s="30"/>
      <c r="B38" s="31"/>
      <c r="C38" s="36"/>
      <c r="E38" s="25"/>
      <c r="F38" s="47">
        <v>1.5833333333333333</v>
      </c>
      <c r="H38">
        <v>6</v>
      </c>
      <c r="I38" s="36">
        <f>$G$33*H38</f>
        <v>2.2149895800019479</v>
      </c>
      <c r="J38" s="36">
        <f>I38*3600/1000</f>
        <v>7.9739624880070119</v>
      </c>
      <c r="R38" s="16">
        <f t="shared" si="2"/>
        <v>60</v>
      </c>
      <c r="S38" s="5">
        <v>3600</v>
      </c>
      <c r="T38" s="18">
        <f>(R38*$B$2*3.6)/$T$1</f>
        <v>64.186750788643536</v>
      </c>
      <c r="U38" s="18">
        <f>($R38*$B$2*3.6)/U$1</f>
        <v>75.081918819188189</v>
      </c>
      <c r="V38" s="18">
        <f>($R38*$B$2*3.6)/V$1</f>
        <v>85.492436974789925</v>
      </c>
      <c r="W38" s="18">
        <f>($R38*$B$2*3.6)/W$1</f>
        <v>96.432227488151668</v>
      </c>
      <c r="X38" s="18">
        <f>($R38*$B$2*3.6)/X$1</f>
        <v>112.41546961325967</v>
      </c>
      <c r="Y38" s="18">
        <f>($R38*$B$2*3.6)/Y$1</f>
        <v>128.77974683544304</v>
      </c>
      <c r="Z38" s="18">
        <f>($R38*$B$2*3.6)/Z$1</f>
        <v>149.61176470588234</v>
      </c>
      <c r="AA38" s="18">
        <f>($R38*$B$2*3.6)/AA$1</f>
        <v>170.98487394957985</v>
      </c>
    </row>
    <row r="39" spans="1:27" ht="12.75" x14ac:dyDescent="0.2">
      <c r="A39" s="30"/>
      <c r="B39" s="32"/>
      <c r="C39" s="36"/>
      <c r="E39" s="25"/>
      <c r="F39" s="47">
        <v>1.3571428571428572</v>
      </c>
      <c r="H39">
        <v>7</v>
      </c>
      <c r="I39" s="36">
        <f>$G$33*H39</f>
        <v>2.5841545100022727</v>
      </c>
      <c r="J39" s="36">
        <f>I39*3600/1000</f>
        <v>9.3029562360081819</v>
      </c>
      <c r="R39" s="16">
        <f t="shared" si="2"/>
        <v>61.666666666666664</v>
      </c>
      <c r="S39" s="5">
        <v>3700</v>
      </c>
      <c r="T39" s="18">
        <f>(R39*$B$2*3.6)/$T$1</f>
        <v>65.969716088328084</v>
      </c>
      <c r="U39" s="18">
        <f>($R39*$B$2*3.6)/U$1</f>
        <v>77.167527675276759</v>
      </c>
      <c r="V39" s="18">
        <f>($R39*$B$2*3.6)/V$1</f>
        <v>87.867226890756314</v>
      </c>
      <c r="W39" s="18">
        <f>($R39*$B$2*3.6)/W$1</f>
        <v>99.110900473933668</v>
      </c>
      <c r="X39" s="18">
        <f>($R39*$B$2*3.6)/X$1</f>
        <v>115.53812154696134</v>
      </c>
      <c r="Y39" s="18">
        <f>($R39*$B$2*3.6)/Y$1</f>
        <v>132.35696202531648</v>
      </c>
      <c r="Z39" s="18">
        <f>($R39*$B$2*3.6)/Z$1</f>
        <v>153.76764705882354</v>
      </c>
      <c r="AA39" s="18">
        <f>($R39*$B$2*3.6)/AA$1</f>
        <v>175.73445378151263</v>
      </c>
    </row>
    <row r="40" spans="1:27" ht="12.75" x14ac:dyDescent="0.2">
      <c r="A40" s="30"/>
      <c r="B40" s="31"/>
      <c r="C40" s="36"/>
      <c r="E40" s="25"/>
      <c r="F40" s="47">
        <v>1.1875</v>
      </c>
      <c r="H40">
        <v>8</v>
      </c>
      <c r="I40" s="36">
        <f>$G$33*H40</f>
        <v>2.9533194400025975</v>
      </c>
      <c r="J40" s="36">
        <f>I40*3600/1000</f>
        <v>10.631949984009351</v>
      </c>
      <c r="R40" s="16">
        <f t="shared" si="2"/>
        <v>63.333333333333336</v>
      </c>
      <c r="S40" s="5">
        <v>3800</v>
      </c>
      <c r="T40" s="18">
        <f>(R40*$B$2*3.6)/$T$1</f>
        <v>67.752681388012618</v>
      </c>
      <c r="U40" s="18">
        <f>($R40*$B$2*3.6)/U$1</f>
        <v>79.253136531365314</v>
      </c>
      <c r="V40" s="18">
        <f>($R40*$B$2*3.6)/V$1</f>
        <v>90.242016806722702</v>
      </c>
      <c r="W40" s="18">
        <f>($R40*$B$2*3.6)/W$1</f>
        <v>101.78957345971565</v>
      </c>
      <c r="X40" s="18">
        <f>($R40*$B$2*3.6)/X$1</f>
        <v>118.66077348066298</v>
      </c>
      <c r="Y40" s="18">
        <f>($R40*$B$2*3.6)/Y$1</f>
        <v>135.93417721518986</v>
      </c>
      <c r="Z40" s="18">
        <f>($R40*$B$2*3.6)/Z$1</f>
        <v>157.92352941176469</v>
      </c>
      <c r="AA40" s="18">
        <f>($R40*$B$2*3.6)/AA$1</f>
        <v>180.4840336134454</v>
      </c>
    </row>
    <row r="41" spans="1:27" ht="12.75" x14ac:dyDescent="0.2">
      <c r="A41" s="30"/>
      <c r="B41" s="32"/>
      <c r="C41" s="36"/>
      <c r="E41" s="25"/>
      <c r="F41"/>
      <c r="H41">
        <v>9</v>
      </c>
      <c r="I41" s="36">
        <f>$G$33*H41</f>
        <v>3.3224843700029223</v>
      </c>
      <c r="J41" s="36">
        <f>I41*3600/1000</f>
        <v>11.96094373201052</v>
      </c>
      <c r="R41" s="16">
        <f t="shared" si="2"/>
        <v>65</v>
      </c>
      <c r="S41" s="5">
        <v>3900</v>
      </c>
      <c r="T41" s="18">
        <f>(R41*$B$2*3.6)/$T$1</f>
        <v>69.535646687697167</v>
      </c>
      <c r="U41" s="18">
        <f>($R41*$B$2*3.6)/U$1</f>
        <v>81.338745387453883</v>
      </c>
      <c r="V41" s="18">
        <f>($R41*$B$2*3.6)/V$1</f>
        <v>92.616806722689091</v>
      </c>
      <c r="W41" s="18">
        <f>($R41*$B$2*3.6)/W$1</f>
        <v>104.46824644549766</v>
      </c>
      <c r="X41" s="18">
        <f>($R41*$B$2*3.6)/X$1</f>
        <v>121.78342541436466</v>
      </c>
      <c r="Y41" s="18">
        <f>($R41*$B$2*3.6)/Y$1</f>
        <v>139.5113924050633</v>
      </c>
      <c r="Z41" s="18">
        <f>($R41*$B$2*3.6)/Z$1</f>
        <v>162.0794117647059</v>
      </c>
      <c r="AA41" s="18">
        <f>($R41*$B$2*3.6)/AA$1</f>
        <v>185.23361344537818</v>
      </c>
    </row>
    <row r="42" spans="1:27" ht="12.75" x14ac:dyDescent="0.2">
      <c r="A42" s="30"/>
      <c r="B42" s="31"/>
      <c r="C42" s="36"/>
      <c r="E42" s="25"/>
      <c r="F42"/>
      <c r="H42">
        <v>10</v>
      </c>
      <c r="I42" s="36">
        <f>$G$33*H42</f>
        <v>3.6916493000032471</v>
      </c>
      <c r="J42" s="36">
        <f>I42*3600/1000</f>
        <v>13.289937480011689</v>
      </c>
      <c r="R42" s="20">
        <f t="shared" si="2"/>
        <v>66.666666666666671</v>
      </c>
      <c r="S42" s="26">
        <v>4000</v>
      </c>
      <c r="T42" s="21">
        <f>(R42*$B$2*3.6)/$T$1</f>
        <v>71.318611987381715</v>
      </c>
      <c r="U42" s="21">
        <f>($R42*$B$2*3.6)/U$1</f>
        <v>83.424354243542453</v>
      </c>
      <c r="V42" s="21">
        <f>($R42*$B$2*3.6)/V$1</f>
        <v>94.99159663865548</v>
      </c>
      <c r="W42" s="21">
        <f>($R42*$B$2*3.6)/W$1</f>
        <v>107.14691943127964</v>
      </c>
      <c r="X42" s="21">
        <f>($R42*$B$2*3.6)/X$1</f>
        <v>124.90607734806632</v>
      </c>
      <c r="Y42" s="21">
        <f>($R42*$B$2*3.6)/Y$1</f>
        <v>143.08860759493672</v>
      </c>
      <c r="Z42" s="21">
        <f>($R42*$B$2*3.6)/Z$1</f>
        <v>166.23529411764707</v>
      </c>
      <c r="AA42" s="21">
        <f>($R42*$B$2*3.6)/AA$1</f>
        <v>189.98319327731096</v>
      </c>
    </row>
    <row r="43" spans="1:27" ht="12.75" x14ac:dyDescent="0.2">
      <c r="A43" s="30"/>
      <c r="B43" s="32"/>
      <c r="C43" s="36"/>
      <c r="E43" s="25"/>
      <c r="F43"/>
      <c r="H43">
        <v>11</v>
      </c>
      <c r="I43" s="36">
        <f>$G$33*H43</f>
        <v>4.0608142300035714</v>
      </c>
      <c r="J43" s="36">
        <f>I43*3600/1000</f>
        <v>14.618931228012858</v>
      </c>
      <c r="R43" s="16">
        <f t="shared" si="2"/>
        <v>68.333333333333329</v>
      </c>
      <c r="S43" s="5">
        <v>4100</v>
      </c>
      <c r="T43" s="18">
        <f>(R43*$B$2*3.6)/$T$1</f>
        <v>73.101577287066263</v>
      </c>
      <c r="U43" s="18">
        <f>($R43*$B$2*3.6)/U$1</f>
        <v>85.509963099631008</v>
      </c>
      <c r="V43" s="18">
        <f>($R43*$B$2*3.6)/V$1</f>
        <v>97.366386554621869</v>
      </c>
      <c r="W43" s="18">
        <f>($R43*$B$2*3.6)/W$1</f>
        <v>109.82559241706163</v>
      </c>
      <c r="X43" s="18">
        <f>($R43*$B$2*3.6)/X$1</f>
        <v>128.02872928176797</v>
      </c>
      <c r="Y43" s="18">
        <f>($R43*$B$2*3.6)/Y$1</f>
        <v>146.66582278481013</v>
      </c>
      <c r="Z43" s="18">
        <f>($R43*$B$2*3.6)/Z$1</f>
        <v>170.39117647058825</v>
      </c>
      <c r="AA43" s="18">
        <f>($R43*$B$2*3.6)/AA$1</f>
        <v>194.73277310924374</v>
      </c>
    </row>
    <row r="44" spans="1:27" ht="12.75" x14ac:dyDescent="0.2">
      <c r="A44" s="30"/>
      <c r="B44" s="31"/>
      <c r="C44" s="36"/>
      <c r="E44" s="25"/>
      <c r="F44"/>
      <c r="H44">
        <v>12</v>
      </c>
      <c r="I44" s="36">
        <f>$G$33*H44</f>
        <v>4.4299791600038958</v>
      </c>
      <c r="J44" s="36">
        <f>I44*3600/1000</f>
        <v>15.947924976014024</v>
      </c>
      <c r="R44" s="16">
        <f t="shared" si="2"/>
        <v>70</v>
      </c>
      <c r="S44" s="5">
        <v>4200</v>
      </c>
      <c r="T44" s="18">
        <f>(R44*$B$2*3.6)/$T$1</f>
        <v>74.884542586750783</v>
      </c>
      <c r="U44" s="18">
        <f>($R44*$B$2*3.6)/U$1</f>
        <v>87.595571955719549</v>
      </c>
      <c r="V44" s="18">
        <f>($R44*$B$2*3.6)/V$1</f>
        <v>99.741176470588229</v>
      </c>
      <c r="W44" s="18">
        <f>($R44*$B$2*3.6)/W$1</f>
        <v>112.5042654028436</v>
      </c>
      <c r="X44" s="18">
        <f>($R44*$B$2*3.6)/X$1</f>
        <v>131.1513812154696</v>
      </c>
      <c r="Y44" s="18">
        <f>($R44*$B$2*3.6)/Y$1</f>
        <v>150.24303797468352</v>
      </c>
      <c r="Z44" s="18">
        <f>($R44*$B$2*3.6)/Z$1</f>
        <v>174.5470588235294</v>
      </c>
      <c r="AA44" s="18">
        <f>($R44*$B$2*3.6)/AA$1</f>
        <v>199.48235294117646</v>
      </c>
    </row>
    <row r="45" spans="1:27" ht="12.75" x14ac:dyDescent="0.2">
      <c r="A45" s="30"/>
      <c r="B45" s="32"/>
      <c r="C45" s="36"/>
      <c r="E45" s="25"/>
      <c r="F45"/>
      <c r="H45">
        <v>13</v>
      </c>
      <c r="I45" s="36">
        <f>$G$33*H45</f>
        <v>4.799144090004221</v>
      </c>
      <c r="J45" s="36">
        <f>I45*3600/1000</f>
        <v>17.276918724015196</v>
      </c>
      <c r="R45" s="16">
        <f t="shared" si="2"/>
        <v>71.666666666666671</v>
      </c>
      <c r="S45" s="5">
        <v>4300</v>
      </c>
      <c r="T45" s="18">
        <f>(R45*$B$2*3.6)/$T$1</f>
        <v>76.667507886435345</v>
      </c>
      <c r="U45" s="18">
        <f>($R45*$B$2*3.6)/U$1</f>
        <v>89.681180811808133</v>
      </c>
      <c r="V45" s="18">
        <f>($R45*$B$2*3.6)/V$1</f>
        <v>102.11596638655463</v>
      </c>
      <c r="W45" s="18">
        <f>($R45*$B$2*3.6)/W$1</f>
        <v>115.18293838862562</v>
      </c>
      <c r="X45" s="18">
        <f>($R45*$B$2*3.6)/X$1</f>
        <v>134.27403314917129</v>
      </c>
      <c r="Y45" s="18">
        <f>($R45*$B$2*3.6)/Y$1</f>
        <v>153.82025316455699</v>
      </c>
      <c r="Z45" s="18">
        <f>($R45*$B$2*3.6)/Z$1</f>
        <v>178.7029411764706</v>
      </c>
      <c r="AA45" s="18">
        <f>($R45*$B$2*3.6)/AA$1</f>
        <v>204.23193277310926</v>
      </c>
    </row>
    <row r="46" spans="1:27" ht="12.75" x14ac:dyDescent="0.2">
      <c r="A46" s="30"/>
      <c r="B46" s="31"/>
      <c r="C46" s="36"/>
      <c r="E46" s="25"/>
      <c r="F46"/>
      <c r="H46">
        <v>14</v>
      </c>
      <c r="I46" s="36">
        <f>$G$33*H46</f>
        <v>5.1683090200045454</v>
      </c>
      <c r="J46" s="36">
        <f>I46*3600/1000</f>
        <v>18.605912472016364</v>
      </c>
      <c r="R46" s="16">
        <f t="shared" si="2"/>
        <v>73.333333333333329</v>
      </c>
      <c r="S46" s="5">
        <v>4400</v>
      </c>
      <c r="T46" s="18">
        <f>(R46*$B$2*3.6)/$T$1</f>
        <v>78.450473186119865</v>
      </c>
      <c r="U46" s="18">
        <f>($R46*$B$2*3.6)/U$1</f>
        <v>91.766789667896674</v>
      </c>
      <c r="V46" s="18">
        <f>($R46*$B$2*3.6)/V$1</f>
        <v>104.49075630252101</v>
      </c>
      <c r="W46" s="18">
        <f>($R46*$B$2*3.6)/W$1</f>
        <v>117.86161137440759</v>
      </c>
      <c r="X46" s="18">
        <f>($R46*$B$2*3.6)/X$1</f>
        <v>137.39668508287292</v>
      </c>
      <c r="Y46" s="18">
        <f>($R46*$B$2*3.6)/Y$1</f>
        <v>157.39746835443037</v>
      </c>
      <c r="Z46" s="18">
        <f>($R46*$B$2*3.6)/Z$1</f>
        <v>182.85882352941175</v>
      </c>
      <c r="AA46" s="18">
        <f>($R46*$B$2*3.6)/AA$1</f>
        <v>208.98151260504201</v>
      </c>
    </row>
    <row r="47" spans="1:27" ht="12.75" x14ac:dyDescent="0.2">
      <c r="A47" s="30"/>
      <c r="B47" s="32"/>
      <c r="C47" s="36"/>
      <c r="E47" s="25"/>
      <c r="F47"/>
      <c r="H47">
        <v>15</v>
      </c>
      <c r="I47" s="36">
        <f>$G$33*H47</f>
        <v>5.5374739500048706</v>
      </c>
      <c r="J47" s="36">
        <f>I47*3600/1000</f>
        <v>19.934906220017535</v>
      </c>
      <c r="R47" s="16">
        <f t="shared" si="2"/>
        <v>75</v>
      </c>
      <c r="S47" s="5">
        <v>4500</v>
      </c>
      <c r="T47" s="18">
        <f>(R47*$B$2*3.6)/$T$1</f>
        <v>80.233438485804427</v>
      </c>
      <c r="U47" s="18">
        <f>($R47*$B$2*3.6)/U$1</f>
        <v>93.852398523985258</v>
      </c>
      <c r="V47" s="18">
        <f>($R47*$B$2*3.6)/V$1</f>
        <v>106.86554621848741</v>
      </c>
      <c r="W47" s="18">
        <f>($R47*$B$2*3.6)/W$1</f>
        <v>120.5402843601896</v>
      </c>
      <c r="X47" s="18">
        <f>($R47*$B$2*3.6)/X$1</f>
        <v>140.51933701657461</v>
      </c>
      <c r="Y47" s="18">
        <f>($R47*$B$2*3.6)/Y$1</f>
        <v>160.97468354430382</v>
      </c>
      <c r="Z47" s="18">
        <f>($R47*$B$2*3.6)/Z$1</f>
        <v>187.01470588235296</v>
      </c>
      <c r="AA47" s="18">
        <f>($R47*$B$2*3.6)/AA$1</f>
        <v>213.73109243697482</v>
      </c>
    </row>
    <row r="48" spans="1:27" ht="12.75" x14ac:dyDescent="0.2">
      <c r="A48" s="30"/>
      <c r="B48" s="31"/>
      <c r="C48" s="36"/>
      <c r="E48" s="25"/>
      <c r="F48"/>
      <c r="H48">
        <v>16</v>
      </c>
      <c r="I48" s="36">
        <f>$G$33*H48</f>
        <v>5.906638880005195</v>
      </c>
      <c r="J48" s="36">
        <f>I48*3600/1000</f>
        <v>21.263899968018702</v>
      </c>
      <c r="R48" s="16">
        <f t="shared" si="2"/>
        <v>76.666666666666671</v>
      </c>
      <c r="S48" s="5">
        <v>4600</v>
      </c>
      <c r="T48" s="18">
        <f>(R48*$B$2*3.6)/$T$1</f>
        <v>82.01640378548899</v>
      </c>
      <c r="U48" s="18">
        <f>($R48*$B$2*3.6)/U$1</f>
        <v>95.938007380073827</v>
      </c>
      <c r="V48" s="18">
        <f>($R48*$B$2*3.6)/V$1</f>
        <v>109.24033613445381</v>
      </c>
      <c r="W48" s="18">
        <f>($R48*$B$2*3.6)/W$1</f>
        <v>123.2189573459716</v>
      </c>
      <c r="X48" s="18">
        <f>($R48*$B$2*3.6)/X$1</f>
        <v>143.64198895027627</v>
      </c>
      <c r="Y48" s="18">
        <f>($R48*$B$2*3.6)/Y$1</f>
        <v>164.55189873417726</v>
      </c>
      <c r="Z48" s="18">
        <f>($R48*$B$2*3.6)/Z$1</f>
        <v>191.17058823529416</v>
      </c>
      <c r="AA48" s="18">
        <f>($R48*$B$2*3.6)/AA$1</f>
        <v>218.48067226890763</v>
      </c>
    </row>
    <row r="49" spans="1:27" ht="12.75" x14ac:dyDescent="0.2">
      <c r="A49" s="30"/>
      <c r="B49" s="32"/>
      <c r="C49" s="36"/>
      <c r="E49" s="25"/>
      <c r="F49"/>
      <c r="H49">
        <v>17</v>
      </c>
      <c r="I49" s="36">
        <f>$G$33*H49</f>
        <v>6.2758038100055193</v>
      </c>
      <c r="J49" s="36">
        <f>I49*3600/1000</f>
        <v>22.592893716019869</v>
      </c>
      <c r="R49" s="16">
        <f t="shared" si="2"/>
        <v>78.333333333333329</v>
      </c>
      <c r="S49" s="5">
        <v>4700</v>
      </c>
      <c r="T49" s="18">
        <f>(R49*$B$2*3.6)/$T$1</f>
        <v>83.79936908517351</v>
      </c>
      <c r="U49" s="18">
        <f>($R49*$B$2*3.6)/U$1</f>
        <v>98.023616236162368</v>
      </c>
      <c r="V49" s="18">
        <f>($R49*$B$2*3.6)/V$1</f>
        <v>111.61512605042017</v>
      </c>
      <c r="W49" s="18">
        <f>($R49*$B$2*3.6)/W$1</f>
        <v>125.89763033175356</v>
      </c>
      <c r="X49" s="18">
        <f>($R49*$B$2*3.6)/X$1</f>
        <v>146.7646408839779</v>
      </c>
      <c r="Y49" s="18">
        <f>($R49*$B$2*3.6)/Y$1</f>
        <v>168.12911392405064</v>
      </c>
      <c r="Z49" s="18">
        <f>($R49*$B$2*3.6)/Z$1</f>
        <v>195.32647058823528</v>
      </c>
      <c r="AA49" s="18">
        <f>($R49*$B$2*3.6)/AA$1</f>
        <v>223.23025210084035</v>
      </c>
    </row>
    <row r="50" spans="1:27" ht="12.75" x14ac:dyDescent="0.2">
      <c r="A50" s="30"/>
      <c r="B50" s="31"/>
      <c r="C50" s="36"/>
      <c r="E50" s="25"/>
      <c r="F50"/>
      <c r="H50">
        <v>18</v>
      </c>
      <c r="I50" s="36">
        <f>$G$33*H50</f>
        <v>6.6449687400058446</v>
      </c>
      <c r="J50" s="36">
        <f>I50*3600/1000</f>
        <v>23.92188746402104</v>
      </c>
      <c r="R50" s="16">
        <f t="shared" si="2"/>
        <v>80</v>
      </c>
      <c r="S50" s="5">
        <v>4800</v>
      </c>
      <c r="T50" s="18">
        <f>(R50*$B$2*3.6)/$T$1</f>
        <v>85.582334384858044</v>
      </c>
      <c r="U50" s="18">
        <f>($R50*$B$2*3.6)/U$1</f>
        <v>100.10922509225092</v>
      </c>
      <c r="V50" s="18">
        <f>($R50*$B$2*3.6)/V$1</f>
        <v>113.98991596638656</v>
      </c>
      <c r="W50" s="18">
        <f>($R50*$B$2*3.6)/W$1</f>
        <v>128.57630331753555</v>
      </c>
      <c r="X50" s="18">
        <f>($R50*$B$2*3.6)/X$1</f>
        <v>149.88729281767954</v>
      </c>
      <c r="Y50" s="18">
        <f>($R50*$B$2*3.6)/Y$1</f>
        <v>171.70632911392403</v>
      </c>
      <c r="Z50" s="18">
        <f>($R50*$B$2*3.6)/Z$1</f>
        <v>199.48235294117646</v>
      </c>
      <c r="AA50" s="18">
        <f>($R50*$B$2*3.6)/AA$1</f>
        <v>227.97983193277312</v>
      </c>
    </row>
    <row r="51" spans="1:27" ht="12.75" x14ac:dyDescent="0.2">
      <c r="A51" s="30"/>
      <c r="B51" s="32"/>
      <c r="C51" s="36"/>
      <c r="E51" s="25"/>
      <c r="F51"/>
      <c r="H51">
        <v>19</v>
      </c>
      <c r="I51" s="36">
        <f>$G$33*H51</f>
        <v>7.0141336700061689</v>
      </c>
      <c r="J51" s="36">
        <f>I51*3600/1000</f>
        <v>25.250881212022207</v>
      </c>
      <c r="R51" s="16">
        <f t="shared" si="2"/>
        <v>81.666666666666671</v>
      </c>
      <c r="S51" s="5">
        <v>4900</v>
      </c>
      <c r="T51" s="18">
        <f>(R51*$B$2*3.6)/$T$1</f>
        <v>87.365299684542606</v>
      </c>
      <c r="U51" s="18">
        <f>($R51*$B$2*3.6)/U$1</f>
        <v>102.19483394833949</v>
      </c>
      <c r="V51" s="18">
        <f>($R51*$B$2*3.6)/V$1</f>
        <v>116.36470588235296</v>
      </c>
      <c r="W51" s="18">
        <f>($R51*$B$2*3.6)/W$1</f>
        <v>131.25497630331756</v>
      </c>
      <c r="X51" s="18">
        <f>($R51*$B$2*3.6)/X$1</f>
        <v>153.00994475138123</v>
      </c>
      <c r="Y51" s="18">
        <f>($R51*$B$2*3.6)/Y$1</f>
        <v>175.28354430379747</v>
      </c>
      <c r="Z51" s="18">
        <f>($R51*$B$2*3.6)/Z$1</f>
        <v>203.63823529411766</v>
      </c>
      <c r="AA51" s="18">
        <f>($R51*$B$2*3.6)/AA$1</f>
        <v>232.72941176470593</v>
      </c>
    </row>
    <row r="52" spans="1:27" ht="12.75" x14ac:dyDescent="0.2">
      <c r="A52" s="30"/>
      <c r="B52" s="31"/>
      <c r="C52" s="36"/>
      <c r="E52" s="25"/>
      <c r="F52"/>
      <c r="H52">
        <v>20</v>
      </c>
      <c r="I52" s="36">
        <f>$G$33*H52</f>
        <v>7.3832986000064942</v>
      </c>
      <c r="J52" s="36">
        <f>I52*3600/1000</f>
        <v>26.579874960023378</v>
      </c>
      <c r="R52" s="22">
        <f t="shared" si="2"/>
        <v>83.333333333333329</v>
      </c>
      <c r="S52" s="26">
        <v>5000</v>
      </c>
      <c r="T52" s="23">
        <f>(R52*$B$2*3.6)/$T$1</f>
        <v>89.14826498422714</v>
      </c>
      <c r="U52" s="23">
        <f>($R52*$B$2*3.6)/U$1</f>
        <v>104.28044280442805</v>
      </c>
      <c r="V52" s="23">
        <f>($R52*$B$2*3.6)/V$1</f>
        <v>118.73949579831934</v>
      </c>
      <c r="W52" s="23">
        <f>($R52*$B$2*3.6)/W$1</f>
        <v>133.93364928909955</v>
      </c>
      <c r="X52" s="23">
        <f>($R52*$B$2*3.6)/X$1</f>
        <v>156.13259668508289</v>
      </c>
      <c r="Y52" s="23">
        <f>($R52*$B$2*3.6)/Y$1</f>
        <v>178.86075949367088</v>
      </c>
      <c r="Z52" s="23">
        <f>($R52*$B$2*3.6)/Z$1</f>
        <v>207.79411764705881</v>
      </c>
      <c r="AA52" s="23">
        <f>($R52*$B$2*3.6)/AA$1</f>
        <v>237.47899159663868</v>
      </c>
    </row>
    <row r="53" spans="1:27" ht="12.75" x14ac:dyDescent="0.2">
      <c r="A53" s="30"/>
      <c r="B53" s="32"/>
      <c r="C53" s="36"/>
      <c r="E53" s="25"/>
      <c r="F53"/>
      <c r="H53">
        <v>21</v>
      </c>
      <c r="I53" s="36">
        <f>$G$33*H53</f>
        <v>7.7524635300068185</v>
      </c>
      <c r="J53" s="36">
        <f>I53*3600/1000</f>
        <v>27.908868708024546</v>
      </c>
      <c r="R53" s="16">
        <f t="shared" si="2"/>
        <v>85</v>
      </c>
      <c r="S53" s="5">
        <v>5100</v>
      </c>
      <c r="T53" s="18">
        <f>(R53*$B$2*3.6)/$T$1</f>
        <v>90.931230283911674</v>
      </c>
      <c r="U53" s="18">
        <f>($R53*$B$2*3.6)/U$1</f>
        <v>106.3660516605166</v>
      </c>
      <c r="V53" s="18">
        <f>($R53*$B$2*3.6)/V$1</f>
        <v>121.11428571428573</v>
      </c>
      <c r="W53" s="18">
        <f>($R53*$B$2*3.6)/W$1</f>
        <v>136.61232227488154</v>
      </c>
      <c r="X53" s="18">
        <f>($R53*$B$2*3.6)/X$1</f>
        <v>159.25524861878452</v>
      </c>
      <c r="Y53" s="18">
        <f>($R53*$B$2*3.6)/Y$1</f>
        <v>182.4379746835443</v>
      </c>
      <c r="Z53" s="18">
        <f>($R53*$B$2*3.6)/Z$1</f>
        <v>211.95</v>
      </c>
      <c r="AA53" s="18">
        <f>($R53*$B$2*3.6)/AA$1</f>
        <v>242.22857142857146</v>
      </c>
    </row>
    <row r="54" spans="1:27" ht="12.75" x14ac:dyDescent="0.2">
      <c r="A54" s="30"/>
      <c r="B54" s="31"/>
      <c r="C54" s="36"/>
      <c r="E54" s="25"/>
      <c r="F54"/>
      <c r="H54">
        <v>22</v>
      </c>
      <c r="I54" s="36">
        <f>$G$33*H54</f>
        <v>8.1216284600071429</v>
      </c>
      <c r="J54" s="36">
        <f>I54*3600/1000</f>
        <v>29.237862456025717</v>
      </c>
      <c r="R54" s="16">
        <f t="shared" si="2"/>
        <v>86.666666666666671</v>
      </c>
      <c r="S54" s="5">
        <v>5200</v>
      </c>
      <c r="T54" s="18">
        <f>(R54*$B$2*3.6)/$T$1</f>
        <v>92.714195583596236</v>
      </c>
      <c r="U54" s="18">
        <f>($R54*$B$2*3.6)/U$1</f>
        <v>108.45166051660519</v>
      </c>
      <c r="V54" s="18">
        <f>($R54*$B$2*3.6)/V$1</f>
        <v>123.48907563025213</v>
      </c>
      <c r="W54" s="18">
        <f>($R54*$B$2*3.6)/W$1</f>
        <v>139.29099526066355</v>
      </c>
      <c r="X54" s="18">
        <f>($R54*$B$2*3.6)/X$1</f>
        <v>162.37790055248621</v>
      </c>
      <c r="Y54" s="18">
        <f>($R54*$B$2*3.6)/Y$1</f>
        <v>186.01518987341774</v>
      </c>
      <c r="Z54" s="18">
        <f>($R54*$B$2*3.6)/Z$1</f>
        <v>216.10588235294119</v>
      </c>
      <c r="AA54" s="18">
        <f>($R54*$B$2*3.6)/AA$1</f>
        <v>246.97815126050426</v>
      </c>
    </row>
    <row r="55" spans="1:27" ht="12.75" x14ac:dyDescent="0.2">
      <c r="A55" s="30"/>
      <c r="B55" s="32"/>
      <c r="C55" s="36"/>
      <c r="E55" s="25"/>
      <c r="F55"/>
      <c r="H55">
        <v>23</v>
      </c>
      <c r="I55" s="36">
        <f>$G$33*H55</f>
        <v>8.4907933900074681</v>
      </c>
      <c r="J55" s="36">
        <f>I55*3600/1000</f>
        <v>30.566856204026884</v>
      </c>
      <c r="R55" s="16">
        <f t="shared" si="2"/>
        <v>88.333333333333329</v>
      </c>
      <c r="S55" s="5">
        <v>5300</v>
      </c>
      <c r="T55" s="18">
        <f>(R55*$B$2*3.6)/$T$1</f>
        <v>94.497160883280756</v>
      </c>
      <c r="U55" s="18">
        <f>($R55*$B$2*3.6)/U$1</f>
        <v>110.53726937269373</v>
      </c>
      <c r="V55" s="18">
        <f>($R55*$B$2*3.6)/V$1</f>
        <v>125.86386554621849</v>
      </c>
      <c r="W55" s="18">
        <f>($R55*$B$2*3.6)/W$1</f>
        <v>141.96966824644551</v>
      </c>
      <c r="X55" s="18">
        <f>($R55*$B$2*3.6)/X$1</f>
        <v>165.50055248618784</v>
      </c>
      <c r="Y55" s="18">
        <f>($R55*$B$2*3.6)/Y$1</f>
        <v>189.59240506329112</v>
      </c>
      <c r="Z55" s="18">
        <f>($R55*$B$2*3.6)/Z$1</f>
        <v>220.26176470588231</v>
      </c>
      <c r="AA55" s="18">
        <f>($R55*$B$2*3.6)/AA$1</f>
        <v>251.72773109243698</v>
      </c>
    </row>
    <row r="56" spans="1:27" ht="12.75" x14ac:dyDescent="0.2">
      <c r="A56" s="30"/>
      <c r="B56" s="31"/>
      <c r="C56" s="36"/>
      <c r="E56" s="25"/>
      <c r="F56"/>
      <c r="H56">
        <v>24</v>
      </c>
      <c r="I56" s="36">
        <f>$G$33*H56</f>
        <v>8.8599583200077916</v>
      </c>
      <c r="J56" s="36">
        <f>I56*3600/1000</f>
        <v>31.895849952028048</v>
      </c>
      <c r="R56" s="16">
        <f t="shared" si="2"/>
        <v>90</v>
      </c>
      <c r="S56" s="5">
        <v>5400</v>
      </c>
      <c r="T56" s="18">
        <f>(R56*$B$2*3.6)/$T$1</f>
        <v>96.280126182965304</v>
      </c>
      <c r="U56" s="18">
        <f>($R56*$B$2*3.6)/U$1</f>
        <v>112.6228782287823</v>
      </c>
      <c r="V56" s="18">
        <f>($R56*$B$2*3.6)/V$1</f>
        <v>128.23865546218488</v>
      </c>
      <c r="W56" s="18">
        <f>($R56*$B$2*3.6)/W$1</f>
        <v>144.64834123222752</v>
      </c>
      <c r="X56" s="18">
        <f>($R56*$B$2*3.6)/X$1</f>
        <v>168.6232044198895</v>
      </c>
      <c r="Y56" s="18">
        <f>($R56*$B$2*3.6)/Y$1</f>
        <v>193.16962025316457</v>
      </c>
      <c r="Z56" s="18">
        <f>($R56*$B$2*3.6)/Z$1</f>
        <v>224.41764705882352</v>
      </c>
      <c r="AA56" s="18">
        <f>($R56*$B$2*3.6)/AA$1</f>
        <v>256.47731092436976</v>
      </c>
    </row>
    <row r="57" spans="1:27" ht="12.75" x14ac:dyDescent="0.2">
      <c r="A57" s="30"/>
      <c r="B57" s="32"/>
      <c r="C57" s="36"/>
      <c r="E57" s="25"/>
      <c r="F57"/>
      <c r="H57">
        <v>25</v>
      </c>
      <c r="I57" s="36">
        <f>$G$33*H57</f>
        <v>9.2291232500081168</v>
      </c>
      <c r="J57" s="36">
        <f>I57*3600/1000</f>
        <v>33.224843700029218</v>
      </c>
      <c r="R57" s="16">
        <f t="shared" si="2"/>
        <v>91.666666666666671</v>
      </c>
      <c r="S57" s="5">
        <v>5500</v>
      </c>
      <c r="T57" s="18">
        <f>(R57*$B$2*3.6)/$T$1</f>
        <v>98.063091482649853</v>
      </c>
      <c r="U57" s="18">
        <f>($R57*$B$2*3.6)/U$1</f>
        <v>114.70848708487085</v>
      </c>
      <c r="V57" s="18">
        <f>($R57*$B$2*3.6)/V$1</f>
        <v>130.61344537815128</v>
      </c>
      <c r="W57" s="18">
        <f>($R57*$B$2*3.6)/W$1</f>
        <v>147.32701421800948</v>
      </c>
      <c r="X57" s="18">
        <f>($R57*$B$2*3.6)/X$1</f>
        <v>171.74585635359117</v>
      </c>
      <c r="Y57" s="18">
        <f>($R57*$B$2*3.6)/Y$1</f>
        <v>196.74683544303798</v>
      </c>
      <c r="Z57" s="18">
        <f>($R57*$B$2*3.6)/Z$1</f>
        <v>228.5735294117647</v>
      </c>
      <c r="AA57" s="18">
        <f>($R57*$B$2*3.6)/AA$1</f>
        <v>261.22689075630257</v>
      </c>
    </row>
    <row r="58" spans="1:27" ht="12.75" x14ac:dyDescent="0.2">
      <c r="A58" s="30"/>
      <c r="B58" s="31"/>
      <c r="C58" s="36"/>
      <c r="E58" s="25"/>
      <c r="F58"/>
      <c r="H58">
        <v>26</v>
      </c>
      <c r="I58" s="36">
        <f>$G$33*H58</f>
        <v>9.5982881800084421</v>
      </c>
      <c r="J58" s="36">
        <f>I58*3600/1000</f>
        <v>34.553837448030393</v>
      </c>
      <c r="R58" s="16">
        <f t="shared" si="2"/>
        <v>93.333333333333329</v>
      </c>
      <c r="S58" s="5">
        <v>5600</v>
      </c>
      <c r="T58" s="18">
        <f>(R58*$B$2*3.6)/$T$1</f>
        <v>99.846056782334387</v>
      </c>
      <c r="U58" s="18">
        <f>($R58*$B$2*3.6)/U$1</f>
        <v>116.79409594095941</v>
      </c>
      <c r="V58" s="18">
        <f>($R58*$B$2*3.6)/V$1</f>
        <v>132.98823529411766</v>
      </c>
      <c r="W58" s="18">
        <f>($R58*$B$2*3.6)/W$1</f>
        <v>150.00568720379147</v>
      </c>
      <c r="X58" s="18">
        <f>($R58*$B$2*3.6)/X$1</f>
        <v>174.86850828729283</v>
      </c>
      <c r="Y58" s="18">
        <f>($R58*$B$2*3.6)/Y$1</f>
        <v>200.32405063291139</v>
      </c>
      <c r="Z58" s="18">
        <f>($R58*$B$2*3.6)/Z$1</f>
        <v>232.72941176470587</v>
      </c>
      <c r="AA58" s="18">
        <f>($R58*$B$2*3.6)/AA$1</f>
        <v>265.97647058823532</v>
      </c>
    </row>
    <row r="59" spans="1:27" ht="12.75" x14ac:dyDescent="0.2">
      <c r="A59" s="30"/>
      <c r="B59" s="32"/>
      <c r="C59" s="36"/>
      <c r="E59" s="25"/>
      <c r="F59"/>
      <c r="H59">
        <v>27</v>
      </c>
      <c r="I59" s="36">
        <f>$G$33*H59</f>
        <v>9.9674531100087673</v>
      </c>
      <c r="J59" s="36">
        <f>I59*3600/1000</f>
        <v>35.88283119603156</v>
      </c>
      <c r="R59" s="16">
        <f t="shared" si="2"/>
        <v>95</v>
      </c>
      <c r="S59" s="5">
        <v>5700</v>
      </c>
      <c r="T59" s="18">
        <f>(R59*$B$2*3.6)/$T$1</f>
        <v>101.62902208201895</v>
      </c>
      <c r="U59" s="18">
        <f>($R59*$B$2*3.6)/U$1</f>
        <v>118.87970479704799</v>
      </c>
      <c r="V59" s="18">
        <f>($R59*$B$2*3.6)/V$1</f>
        <v>135.36302521008406</v>
      </c>
      <c r="W59" s="18">
        <f>($R59*$B$2*3.6)/W$1</f>
        <v>152.68436018957348</v>
      </c>
      <c r="X59" s="18">
        <f>($R59*$B$2*3.6)/X$1</f>
        <v>177.99116022099449</v>
      </c>
      <c r="Y59" s="18">
        <f>($R59*$B$2*3.6)/Y$1</f>
        <v>203.90126582278484</v>
      </c>
      <c r="Z59" s="18">
        <f>($R59*$B$2*3.6)/Z$1</f>
        <v>236.88529411764708</v>
      </c>
      <c r="AA59" s="18">
        <f>($R59*$B$2*3.6)/AA$1</f>
        <v>270.72605042016812</v>
      </c>
    </row>
    <row r="60" spans="1:27" ht="12.75" x14ac:dyDescent="0.2">
      <c r="A60" s="30"/>
      <c r="B60" s="31"/>
      <c r="C60" s="36"/>
      <c r="E60" s="25"/>
      <c r="F60"/>
      <c r="H60">
        <v>28</v>
      </c>
      <c r="I60" s="36">
        <f>$G$33*H60</f>
        <v>10.336618040009091</v>
      </c>
      <c r="J60" s="36">
        <f>I60*3600/1000</f>
        <v>37.211824944032728</v>
      </c>
      <c r="R60" s="16">
        <f t="shared" si="2"/>
        <v>96.666666666666671</v>
      </c>
      <c r="S60" s="5">
        <v>5800</v>
      </c>
      <c r="T60" s="18">
        <f>(R60*$B$2*3.6)/$T$1</f>
        <v>103.4119873817035</v>
      </c>
      <c r="U60" s="18">
        <f>($R60*$B$2*3.6)/U$1</f>
        <v>120.96531365313656</v>
      </c>
      <c r="V60" s="18">
        <f>($R60*$B$2*3.6)/V$1</f>
        <v>137.73781512605046</v>
      </c>
      <c r="W60" s="18">
        <f>($R60*$B$2*3.6)/W$1</f>
        <v>155.3630331753555</v>
      </c>
      <c r="X60" s="18">
        <f>($R60*$B$2*3.6)/X$1</f>
        <v>181.11381215469618</v>
      </c>
      <c r="Y60" s="18">
        <f>($R60*$B$2*3.6)/Y$1</f>
        <v>207.47848101265828</v>
      </c>
      <c r="Z60" s="18">
        <f>($R60*$B$2*3.6)/Z$1</f>
        <v>241.04117647058828</v>
      </c>
      <c r="AA60" s="18">
        <f>($R60*$B$2*3.6)/AA$1</f>
        <v>275.47563025210093</v>
      </c>
    </row>
    <row r="61" spans="1:27" ht="12.75" x14ac:dyDescent="0.2">
      <c r="A61" s="30"/>
      <c r="B61" s="32"/>
      <c r="C61" s="36"/>
      <c r="E61" s="25"/>
      <c r="F61"/>
      <c r="H61">
        <v>29</v>
      </c>
      <c r="I61" s="36">
        <f>$G$33*H61</f>
        <v>10.705782970009416</v>
      </c>
      <c r="J61" s="36">
        <f>I61*3600/1000</f>
        <v>38.540818692033902</v>
      </c>
      <c r="R61" s="16">
        <f t="shared" si="2"/>
        <v>98.333333333333329</v>
      </c>
      <c r="S61" s="5">
        <v>5900</v>
      </c>
      <c r="T61" s="18">
        <f>(R61*$B$2*3.6)/$T$1</f>
        <v>105.19495268138802</v>
      </c>
      <c r="U61" s="18">
        <f>($R61*$B$2*3.6)/U$1</f>
        <v>123.0509225092251</v>
      </c>
      <c r="V61" s="18">
        <f>($R61*$B$2*3.6)/V$1</f>
        <v>140.11260504201681</v>
      </c>
      <c r="W61" s="18">
        <f>($R61*$B$2*3.6)/W$1</f>
        <v>158.04170616113745</v>
      </c>
      <c r="X61" s="18">
        <f>($R61*$B$2*3.6)/X$1</f>
        <v>184.23646408839778</v>
      </c>
      <c r="Y61" s="18">
        <f>($R61*$B$2*3.6)/Y$1</f>
        <v>211.05569620253164</v>
      </c>
      <c r="Z61" s="18">
        <f>($R61*$B$2*3.6)/Z$1</f>
        <v>245.1970588235294</v>
      </c>
      <c r="AA61" s="18">
        <f>($R61*$B$2*3.6)/AA$1</f>
        <v>280.22521008403362</v>
      </c>
    </row>
    <row r="62" spans="1:27" ht="12.75" x14ac:dyDescent="0.2">
      <c r="A62" s="30"/>
      <c r="B62" s="31"/>
      <c r="C62" s="36"/>
      <c r="E62" s="25"/>
      <c r="F62"/>
      <c r="H62">
        <v>30</v>
      </c>
      <c r="I62" s="36">
        <f>$G$33*H62</f>
        <v>11.074947900009741</v>
      </c>
      <c r="J62" s="36">
        <f>I62*3600/1000</f>
        <v>39.869812440035069</v>
      </c>
      <c r="R62" s="22">
        <f t="shared" si="2"/>
        <v>100</v>
      </c>
      <c r="S62" s="26">
        <v>6000</v>
      </c>
      <c r="T62" s="23">
        <f>(R62*$B$2*3.6)/$T$1</f>
        <v>106.97791798107257</v>
      </c>
      <c r="U62" s="23">
        <f>($R62*$B$2*3.6)/U$1</f>
        <v>125.13653136531366</v>
      </c>
      <c r="V62" s="23">
        <f>($R62*$B$2*3.6)/V$1</f>
        <v>142.48739495798321</v>
      </c>
      <c r="W62" s="23">
        <f>($R62*$B$2*3.6)/W$1</f>
        <v>160.72037914691944</v>
      </c>
      <c r="X62" s="23">
        <f>($R62*$B$2*3.6)/X$1</f>
        <v>187.35911602209944</v>
      </c>
      <c r="Y62" s="23">
        <f>($R62*$B$2*3.6)/Y$1</f>
        <v>214.63291139240505</v>
      </c>
      <c r="Z62" s="23">
        <f>($R62*$B$2*3.6)/Z$1</f>
        <v>249.35294117647058</v>
      </c>
      <c r="AA62" s="23">
        <f>($R62*$B$2*3.6)/AA$1</f>
        <v>284.97478991596643</v>
      </c>
    </row>
    <row r="63" spans="1:27" ht="12.75" x14ac:dyDescent="0.2">
      <c r="A63" s="30"/>
      <c r="B63" s="32"/>
      <c r="C63" s="36"/>
      <c r="E63" s="25"/>
      <c r="F63"/>
      <c r="H63">
        <v>31</v>
      </c>
      <c r="I63" s="36">
        <f>$G$33*H63</f>
        <v>11.444112830010065</v>
      </c>
      <c r="J63" s="36">
        <f>I63*3600/1000</f>
        <v>41.198806188036237</v>
      </c>
      <c r="R63" s="16">
        <f t="shared" si="2"/>
        <v>101.66666666666667</v>
      </c>
      <c r="S63" s="5">
        <v>6100</v>
      </c>
      <c r="T63" s="18">
        <f>(R63*$B$2*3.6)/$T$1</f>
        <v>108.76088328075711</v>
      </c>
      <c r="U63" s="18">
        <f>($R63*$B$2*3.6)/U$1</f>
        <v>127.22214022140223</v>
      </c>
      <c r="V63" s="18">
        <f>($R63*$B$2*3.6)/V$1</f>
        <v>144.86218487394962</v>
      </c>
      <c r="W63" s="18">
        <f>($R63*$B$2*3.6)/W$1</f>
        <v>163.39905213270146</v>
      </c>
      <c r="X63" s="18">
        <f>($R63*$B$2*3.6)/X$1</f>
        <v>190.48176795580113</v>
      </c>
      <c r="Y63" s="18">
        <f>($R63*$B$2*3.6)/Y$1</f>
        <v>218.21012658227849</v>
      </c>
      <c r="Z63" s="18">
        <f>($R63*$B$2*3.6)/Z$1</f>
        <v>253.50882352941179</v>
      </c>
      <c r="AA63" s="18">
        <f>($R63*$B$2*3.6)/AA$1</f>
        <v>289.72436974789923</v>
      </c>
    </row>
    <row r="64" spans="1:27" ht="12.75" x14ac:dyDescent="0.2">
      <c r="A64" s="30"/>
      <c r="B64" s="31"/>
      <c r="C64" s="36"/>
      <c r="E64" s="25"/>
      <c r="F64"/>
      <c r="H64">
        <v>32</v>
      </c>
      <c r="I64" s="36">
        <f>$G$33*H64</f>
        <v>11.81327776001039</v>
      </c>
      <c r="J64" s="36">
        <f>I64*3600/1000</f>
        <v>42.527799936037404</v>
      </c>
      <c r="R64" s="16">
        <f t="shared" si="2"/>
        <v>103.33333333333333</v>
      </c>
      <c r="S64" s="5">
        <v>6200</v>
      </c>
      <c r="T64" s="18">
        <f>(R64*$B$2*3.6)/$T$1</f>
        <v>110.54384858044165</v>
      </c>
      <c r="U64" s="18">
        <f>($R64*$B$2*3.6)/U$1</f>
        <v>129.3077490774908</v>
      </c>
      <c r="V64" s="18">
        <f>($R64*$B$2*3.6)/V$1</f>
        <v>147.23697478991599</v>
      </c>
      <c r="W64" s="18">
        <f>($R64*$B$2*3.6)/W$1</f>
        <v>166.07772511848344</v>
      </c>
      <c r="X64" s="18">
        <f>($R64*$B$2*3.6)/X$1</f>
        <v>193.60441988950276</v>
      </c>
      <c r="Y64" s="18">
        <f>($R64*$B$2*3.6)/Y$1</f>
        <v>221.7873417721519</v>
      </c>
      <c r="Z64" s="18">
        <f>($R64*$B$2*3.6)/Z$1</f>
        <v>257.66470588235296</v>
      </c>
      <c r="AA64" s="18">
        <f>($R64*$B$2*3.6)/AA$1</f>
        <v>294.47394957983198</v>
      </c>
    </row>
    <row r="65" spans="1:27" ht="12.75" x14ac:dyDescent="0.2">
      <c r="A65" s="30"/>
      <c r="B65" s="32"/>
      <c r="C65" s="36"/>
      <c r="E65" s="25"/>
      <c r="F65"/>
      <c r="H65">
        <v>33</v>
      </c>
      <c r="I65" s="36">
        <f>$G$33*H65</f>
        <v>12.182442690010715</v>
      </c>
      <c r="J65" s="36">
        <f>I65*3600/1000</f>
        <v>43.856793684038571</v>
      </c>
      <c r="R65" s="16">
        <f t="shared" si="2"/>
        <v>105</v>
      </c>
      <c r="S65" s="5">
        <v>6300</v>
      </c>
      <c r="T65" s="18">
        <f>(R65*$B$2*3.6)/$T$1</f>
        <v>112.3268138801262</v>
      </c>
      <c r="U65" s="18">
        <f>($R65*$B$2*3.6)/U$1</f>
        <v>131.39335793357935</v>
      </c>
      <c r="V65" s="18">
        <f>($R65*$B$2*3.6)/V$1</f>
        <v>149.61176470588236</v>
      </c>
      <c r="W65" s="18">
        <f>($R65*$B$2*3.6)/W$1</f>
        <v>168.75639810426543</v>
      </c>
      <c r="X65" s="18">
        <f>($R65*$B$2*3.6)/X$1</f>
        <v>196.72707182320443</v>
      </c>
      <c r="Y65" s="18">
        <f>($R65*$B$2*3.6)/Y$1</f>
        <v>225.36455696202532</v>
      </c>
      <c r="Z65" s="18">
        <f>($R65*$B$2*3.6)/Z$1</f>
        <v>261.82058823529411</v>
      </c>
      <c r="AA65" s="18">
        <f>($R65*$B$2*3.6)/AA$1</f>
        <v>299.22352941176473</v>
      </c>
    </row>
    <row r="66" spans="1:27" ht="12.75" x14ac:dyDescent="0.2">
      <c r="A66" s="30"/>
      <c r="B66" s="31"/>
      <c r="C66" s="36"/>
      <c r="E66" s="25"/>
      <c r="F66"/>
      <c r="H66">
        <v>34</v>
      </c>
      <c r="I66" s="36">
        <f>$G$33*H66</f>
        <v>12.551607620011039</v>
      </c>
      <c r="J66" s="36">
        <f>I66*3600/1000</f>
        <v>45.185787432039739</v>
      </c>
      <c r="R66" s="16">
        <f>S66/60</f>
        <v>106.66666666666667</v>
      </c>
      <c r="S66" s="5">
        <v>6400</v>
      </c>
      <c r="T66" s="18">
        <f>(R66*$B$2*3.6)/$T$1</f>
        <v>114.10977917981073</v>
      </c>
      <c r="U66" s="18">
        <f>($R66*$B$2*3.6)/U$1</f>
        <v>133.47896678966791</v>
      </c>
      <c r="V66" s="18">
        <f>($R66*$B$2*3.6)/V$1</f>
        <v>151.98655462184874</v>
      </c>
      <c r="W66" s="18">
        <f>($R66*$B$2*3.6)/W$1</f>
        <v>171.43507109004742</v>
      </c>
      <c r="X66" s="18">
        <f>($R66*$B$2*3.6)/X$1</f>
        <v>199.84972375690609</v>
      </c>
      <c r="Y66" s="18">
        <f>($R66*$B$2*3.6)/Y$1</f>
        <v>228.94177215189873</v>
      </c>
      <c r="Z66" s="18">
        <f>($R66*$B$2*3.6)/Z$1</f>
        <v>265.97647058823526</v>
      </c>
      <c r="AA66" s="18">
        <f>($R66*$B$2*3.6)/AA$1</f>
        <v>303.97310924369748</v>
      </c>
    </row>
    <row r="67" spans="1:27" ht="12.75" x14ac:dyDescent="0.2">
      <c r="A67" s="30"/>
      <c r="B67" s="32"/>
      <c r="C67" s="36"/>
      <c r="E67" s="25"/>
      <c r="F67"/>
      <c r="H67">
        <v>35</v>
      </c>
      <c r="I67" s="36">
        <f>$G$33*H67</f>
        <v>12.920772550011364</v>
      </c>
      <c r="J67" s="36">
        <f>I67*3600/1000</f>
        <v>46.514781180040913</v>
      </c>
      <c r="R67" s="16">
        <f>S67/60</f>
        <v>108.33333333333333</v>
      </c>
      <c r="S67" s="5">
        <v>6500</v>
      </c>
      <c r="T67" s="18">
        <f>(R67*$B$2*3.6)/$T$1</f>
        <v>115.89274447949526</v>
      </c>
      <c r="U67" s="18">
        <f>($R67*$B$2*3.6)/U$1</f>
        <v>135.56457564575646</v>
      </c>
      <c r="V67" s="18">
        <f>($R67*$B$2*3.6)/V$1</f>
        <v>154.36134453781514</v>
      </c>
      <c r="W67" s="18">
        <f>($R67*$B$2*3.6)/W$1</f>
        <v>174.1137440758294</v>
      </c>
      <c r="X67" s="18">
        <f>($R67*$B$2*3.6)/X$1</f>
        <v>202.97237569060772</v>
      </c>
      <c r="Y67" s="18">
        <f>($R67*$B$2*3.6)/Y$1</f>
        <v>232.51898734177215</v>
      </c>
      <c r="Z67" s="18">
        <f>($R67*$B$2*3.6)/Z$1</f>
        <v>270.13235294117646</v>
      </c>
      <c r="AA67" s="18">
        <f>($R67*$B$2*3.6)/AA$1</f>
        <v>308.72268907563029</v>
      </c>
    </row>
    <row r="68" spans="1:27" ht="12.75" x14ac:dyDescent="0.2">
      <c r="A68" s="30"/>
      <c r="B68" s="31"/>
      <c r="C68" s="36"/>
      <c r="E68" s="25"/>
      <c r="F68"/>
      <c r="H68">
        <v>36</v>
      </c>
      <c r="I68" s="36">
        <f>$G$33*H68</f>
        <v>13.289937480011689</v>
      </c>
      <c r="J68" s="36">
        <f>I68*3600/1000</f>
        <v>47.84377492804208</v>
      </c>
      <c r="R68" s="16">
        <f>S68/60</f>
        <v>110</v>
      </c>
      <c r="S68" s="5">
        <v>6600</v>
      </c>
      <c r="T68" s="18">
        <f>(R68*$B$2*3.6)/$T$1</f>
        <v>117.67570977917983</v>
      </c>
      <c r="U68" s="18">
        <f>($R68*$B$2*3.6)/U$1</f>
        <v>137.65018450184505</v>
      </c>
      <c r="V68" s="18">
        <f>($R68*$B$2*3.6)/V$1</f>
        <v>156.73613445378155</v>
      </c>
      <c r="W68" s="18">
        <f>($R68*$B$2*3.6)/W$1</f>
        <v>176.79241706161142</v>
      </c>
      <c r="X68" s="18">
        <f>($R68*$B$2*3.6)/X$1</f>
        <v>206.09502762430941</v>
      </c>
      <c r="Y68" s="18">
        <f>($R68*$B$2*3.6)/Y$1</f>
        <v>236.09620253164559</v>
      </c>
      <c r="Z68" s="18">
        <f>($R68*$B$2*3.6)/Z$1</f>
        <v>274.28823529411767</v>
      </c>
      <c r="AA68" s="18">
        <f>($R68*$B$2*3.6)/AA$1</f>
        <v>313.47226890756309</v>
      </c>
    </row>
    <row r="69" spans="1:27" ht="12.75" x14ac:dyDescent="0.2">
      <c r="A69" s="30"/>
      <c r="B69" s="32"/>
      <c r="C69" s="36"/>
      <c r="E69" s="25"/>
      <c r="F69"/>
      <c r="H69">
        <v>37</v>
      </c>
      <c r="I69" s="36">
        <f>$G$33*H69</f>
        <v>13.659102410012013</v>
      </c>
      <c r="J69" s="36">
        <f>I69*3600/1000</f>
        <v>49.172768676043248</v>
      </c>
      <c r="R69" s="16">
        <f>S69/60</f>
        <v>111.66666666666667</v>
      </c>
      <c r="S69" s="5">
        <v>6700</v>
      </c>
      <c r="T69" s="18">
        <f>(R69*$B$2*3.6)/$T$1</f>
        <v>119.45867507886436</v>
      </c>
      <c r="U69" s="18">
        <f>($R69*$B$2*3.6)/U$1</f>
        <v>139.7357933579336</v>
      </c>
      <c r="V69" s="18">
        <f>($R69*$B$2*3.6)/V$1</f>
        <v>159.11092436974792</v>
      </c>
      <c r="W69" s="18">
        <f>($R69*$B$2*3.6)/W$1</f>
        <v>179.47109004739337</v>
      </c>
      <c r="X69" s="18">
        <f>($R69*$B$2*3.6)/X$1</f>
        <v>209.21767955801107</v>
      </c>
      <c r="Y69" s="18">
        <f>($R69*$B$2*3.6)/Y$1</f>
        <v>239.673417721519</v>
      </c>
      <c r="Z69" s="18">
        <f>($R69*$B$2*3.6)/Z$1</f>
        <v>278.44411764705882</v>
      </c>
      <c r="AA69" s="18">
        <f>($R69*$B$2*3.6)/AA$1</f>
        <v>318.22184873949584</v>
      </c>
    </row>
    <row r="70" spans="1:27" ht="12.75" x14ac:dyDescent="0.2">
      <c r="A70" s="30"/>
      <c r="B70" s="31"/>
      <c r="C70" s="36"/>
      <c r="E70" s="25"/>
      <c r="F70"/>
      <c r="H70">
        <v>38</v>
      </c>
      <c r="I70" s="36">
        <f>$G$33*H70</f>
        <v>14.028267340012338</v>
      </c>
      <c r="J70" s="36">
        <f>I70*3600/1000</f>
        <v>50.501762424044415</v>
      </c>
      <c r="R70" s="16">
        <f>S70/60</f>
        <v>113.33333333333333</v>
      </c>
      <c r="S70" s="5">
        <v>6800</v>
      </c>
      <c r="T70" s="18">
        <f>(R70*$B$2*3.6)/$T$1</f>
        <v>121.24164037854891</v>
      </c>
      <c r="U70" s="18">
        <f>($R70*$B$2*3.6)/U$1</f>
        <v>141.82140221402216</v>
      </c>
      <c r="V70" s="18">
        <f>($R70*$B$2*3.6)/V$1</f>
        <v>161.48571428571429</v>
      </c>
      <c r="W70" s="18">
        <f>($R70*$B$2*3.6)/W$1</f>
        <v>182.14976303317536</v>
      </c>
      <c r="X70" s="18">
        <f>($R70*$B$2*3.6)/X$1</f>
        <v>212.3403314917127</v>
      </c>
      <c r="Y70" s="18">
        <f>($R70*$B$2*3.6)/Y$1</f>
        <v>243.25063291139242</v>
      </c>
      <c r="Z70" s="18">
        <f>($R70*$B$2*3.6)/Z$1</f>
        <v>282.59999999999997</v>
      </c>
      <c r="AA70" s="18">
        <f>($R70*$B$2*3.6)/AA$1</f>
        <v>322.97142857142859</v>
      </c>
    </row>
    <row r="71" spans="1:27" ht="12.75" x14ac:dyDescent="0.2">
      <c r="A71" s="30"/>
      <c r="B71" s="32"/>
      <c r="C71" s="36"/>
      <c r="E71" s="25"/>
      <c r="F71"/>
      <c r="H71">
        <v>39</v>
      </c>
      <c r="I71" s="36">
        <f>$G$33*H71</f>
        <v>14.397432270012663</v>
      </c>
      <c r="J71" s="36">
        <f>I71*3600/1000</f>
        <v>51.830756172045582</v>
      </c>
      <c r="R71" s="16">
        <f>S71/60</f>
        <v>115</v>
      </c>
      <c r="S71" s="5">
        <v>6900</v>
      </c>
      <c r="T71" s="18">
        <f>(R71*$B$2*3.6)/$T$1</f>
        <v>123.02460567823346</v>
      </c>
      <c r="U71" s="18">
        <f>($R71*$B$2*3.6)/U$1</f>
        <v>143.90701107011071</v>
      </c>
      <c r="V71" s="18">
        <f>($R71*$B$2*3.6)/V$1</f>
        <v>163.8605042016807</v>
      </c>
      <c r="W71" s="18">
        <f>($R71*$B$2*3.6)/W$1</f>
        <v>184.82843601895738</v>
      </c>
      <c r="X71" s="18">
        <f>($R71*$B$2*3.6)/X$1</f>
        <v>215.46298342541439</v>
      </c>
      <c r="Y71" s="18">
        <f>($R71*$B$2*3.6)/Y$1</f>
        <v>246.82784810126586</v>
      </c>
      <c r="Z71" s="18">
        <f>($R71*$B$2*3.6)/Z$1</f>
        <v>286.75588235294117</v>
      </c>
      <c r="AA71" s="18">
        <f>($R71*$B$2*3.6)/AA$1</f>
        <v>327.7210084033614</v>
      </c>
    </row>
    <row r="72" spans="1:27" ht="12.75" x14ac:dyDescent="0.2">
      <c r="A72" s="30"/>
      <c r="B72" s="31"/>
      <c r="C72" s="36"/>
      <c r="E72" s="25"/>
      <c r="F72"/>
      <c r="H72">
        <v>40</v>
      </c>
      <c r="I72" s="36">
        <f>$G$33*H72</f>
        <v>14.766597200012988</v>
      </c>
      <c r="J72" s="36">
        <f>I72*3600/1000</f>
        <v>53.159749920046757</v>
      </c>
      <c r="R72" s="22">
        <f>S72/60</f>
        <v>116.66666666666667</v>
      </c>
      <c r="S72" s="26">
        <v>7000</v>
      </c>
      <c r="T72" s="23">
        <f>(R72*$B$2*3.6)/$T$1</f>
        <v>124.807570977918</v>
      </c>
      <c r="U72" s="23">
        <f>($R72*$B$2*3.6)/U$1</f>
        <v>145.99261992619927</v>
      </c>
      <c r="V72" s="23">
        <f>($R72*$B$2*3.6)/V$1</f>
        <v>166.23529411764707</v>
      </c>
      <c r="W72" s="23">
        <f>($R72*$B$2*3.6)/W$1</f>
        <v>187.50710900473936</v>
      </c>
      <c r="X72" s="23">
        <f>($R72*$B$2*3.6)/X$1</f>
        <v>218.58563535911603</v>
      </c>
      <c r="Y72" s="23">
        <f>($R72*$B$2*3.6)/Y$1</f>
        <v>250.40506329113924</v>
      </c>
      <c r="Z72" s="23">
        <f>($R72*$B$2*3.6)/Z$1</f>
        <v>290.91176470588238</v>
      </c>
      <c r="AA72" s="23">
        <f>($R72*$B$2*3.6)/AA$1</f>
        <v>332.47058823529414</v>
      </c>
    </row>
    <row r="73" spans="1:27" ht="12.75" x14ac:dyDescent="0.2">
      <c r="A73" s="30"/>
      <c r="B73" s="32"/>
      <c r="C73" s="36"/>
      <c r="E73" s="25"/>
      <c r="F73"/>
      <c r="H73">
        <v>41</v>
      </c>
      <c r="I73" s="36">
        <f>$G$33*H73</f>
        <v>15.135762130013312</v>
      </c>
      <c r="J73" s="36">
        <f>I73*3600/1000</f>
        <v>54.488743668047924</v>
      </c>
      <c r="R73" s="16">
        <f>S73/60</f>
        <v>118.33333333333333</v>
      </c>
      <c r="S73" s="5">
        <v>7100</v>
      </c>
      <c r="T73" s="18">
        <f>(R73*$B$2*3.6)/$T$1</f>
        <v>126.59053627760254</v>
      </c>
      <c r="U73" s="18">
        <f>($R73*$B$2*3.6)/U$1</f>
        <v>148.07822878228782</v>
      </c>
      <c r="V73" s="18">
        <f>($R73*$B$2*3.6)/V$1</f>
        <v>168.61008403361348</v>
      </c>
      <c r="W73" s="18">
        <f>($R73*$B$2*3.6)/W$1</f>
        <v>190.18578199052135</v>
      </c>
      <c r="X73" s="18">
        <f>($R73*$B$2*3.6)/X$1</f>
        <v>221.70828729281769</v>
      </c>
      <c r="Y73" s="18">
        <f>($R73*$B$2*3.6)/Y$1</f>
        <v>253.98227848101266</v>
      </c>
      <c r="Z73" s="18">
        <f>($R73*$B$2*3.6)/Z$1</f>
        <v>295.06764705882352</v>
      </c>
      <c r="AA73" s="18">
        <f>($R73*$B$2*3.6)/AA$1</f>
        <v>337.22016806722695</v>
      </c>
    </row>
    <row r="74" spans="1:27" ht="12.75" x14ac:dyDescent="0.2">
      <c r="A74" s="30"/>
      <c r="B74" s="31"/>
      <c r="C74" s="36"/>
      <c r="E74" s="25"/>
      <c r="F74"/>
      <c r="H74">
        <v>42</v>
      </c>
      <c r="I74" s="36">
        <f>$G$33*H74</f>
        <v>15.504927060013637</v>
      </c>
      <c r="J74" s="36">
        <f>I74*3600/1000</f>
        <v>55.817737416049091</v>
      </c>
      <c r="R74" s="16">
        <f>S74/60</f>
        <v>120</v>
      </c>
      <c r="S74" s="5">
        <v>7200</v>
      </c>
      <c r="T74" s="18">
        <f>(R74*$B$2*3.6)/$T$1</f>
        <v>128.37350157728707</v>
      </c>
      <c r="U74" s="18">
        <f>($R74*$B$2*3.6)/U$1</f>
        <v>150.16383763837638</v>
      </c>
      <c r="V74" s="18">
        <f>($R74*$B$2*3.6)/V$1</f>
        <v>170.98487394957985</v>
      </c>
      <c r="W74" s="18">
        <f>($R74*$B$2*3.6)/W$1</f>
        <v>192.86445497630334</v>
      </c>
      <c r="X74" s="18">
        <f>($R74*$B$2*3.6)/X$1</f>
        <v>224.83093922651935</v>
      </c>
      <c r="Y74" s="18">
        <f>($R74*$B$2*3.6)/Y$1</f>
        <v>257.55949367088607</v>
      </c>
      <c r="Z74" s="18">
        <f>($R74*$B$2*3.6)/Z$1</f>
        <v>299.22352941176467</v>
      </c>
      <c r="AA74" s="18">
        <f>($R74*$B$2*3.6)/AA$1</f>
        <v>341.9697478991597</v>
      </c>
    </row>
    <row r="75" spans="1:27" ht="12.75" x14ac:dyDescent="0.2">
      <c r="A75" s="30"/>
      <c r="B75" s="32"/>
      <c r="C75" s="36"/>
      <c r="E75" s="25"/>
      <c r="F75"/>
      <c r="H75">
        <v>43</v>
      </c>
      <c r="I75" s="36">
        <f>$G$33*H75</f>
        <v>15.874091990013962</v>
      </c>
      <c r="J75" s="36">
        <f>I75*3600/1000</f>
        <v>57.146731164050266</v>
      </c>
      <c r="R75" s="16">
        <f>S75/60</f>
        <v>121.66666666666667</v>
      </c>
      <c r="S75" s="5">
        <v>7300</v>
      </c>
      <c r="T75" s="18">
        <f>(R75*$B$2*3.6)/$T$1</f>
        <v>130.15646687697162</v>
      </c>
      <c r="U75" s="18">
        <f>($R75*$B$2*3.6)/U$1</f>
        <v>152.24944649446496</v>
      </c>
      <c r="V75" s="18">
        <f>($R75*$B$2*3.6)/V$1</f>
        <v>173.35966386554625</v>
      </c>
      <c r="W75" s="18">
        <f>($R75*$B$2*3.6)/W$1</f>
        <v>195.54312796208535</v>
      </c>
      <c r="X75" s="18">
        <f>($R75*$B$2*3.6)/X$1</f>
        <v>227.95359116022101</v>
      </c>
      <c r="Y75" s="18">
        <f>($R75*$B$2*3.6)/Y$1</f>
        <v>261.13670886075954</v>
      </c>
      <c r="Z75" s="18">
        <f>($R75*$B$2*3.6)/Z$1</f>
        <v>303.37941176470588</v>
      </c>
      <c r="AA75" s="18">
        <f>($R75*$B$2*3.6)/AA$1</f>
        <v>346.71932773109251</v>
      </c>
    </row>
    <row r="76" spans="1:27" ht="12.75" x14ac:dyDescent="0.2">
      <c r="A76" s="30"/>
      <c r="B76" s="31"/>
      <c r="C76" s="36"/>
      <c r="E76" s="25"/>
      <c r="F76"/>
      <c r="H76">
        <v>44</v>
      </c>
      <c r="I76" s="36">
        <f>$G$33*H76</f>
        <v>16.243256920014286</v>
      </c>
      <c r="J76" s="36">
        <f>I76*3600/1000</f>
        <v>58.475724912051433</v>
      </c>
      <c r="R76" s="16">
        <f>S76/60</f>
        <v>123.33333333333333</v>
      </c>
      <c r="S76" s="5">
        <v>7400</v>
      </c>
      <c r="T76" s="18">
        <f>(R76*$B$2*3.6)/$T$1</f>
        <v>131.93943217665617</v>
      </c>
      <c r="U76" s="18">
        <f>($R76*$B$2*3.6)/U$1</f>
        <v>154.33505535055352</v>
      </c>
      <c r="V76" s="18">
        <f>($R76*$B$2*3.6)/V$1</f>
        <v>175.73445378151263</v>
      </c>
      <c r="W76" s="18">
        <f>($R76*$B$2*3.6)/W$1</f>
        <v>198.22180094786734</v>
      </c>
      <c r="X76" s="18">
        <f>($R76*$B$2*3.6)/X$1</f>
        <v>231.07624309392267</v>
      </c>
      <c r="Y76" s="18">
        <f>($R76*$B$2*3.6)/Y$1</f>
        <v>264.71392405063295</v>
      </c>
      <c r="Z76" s="18">
        <f>($R76*$B$2*3.6)/Z$1</f>
        <v>307.53529411764708</v>
      </c>
      <c r="AA76" s="18">
        <f>($R76*$B$2*3.6)/AA$1</f>
        <v>351.46890756302525</v>
      </c>
    </row>
    <row r="77" spans="1:27" ht="12.75" x14ac:dyDescent="0.2">
      <c r="A77" s="30"/>
      <c r="B77" s="32"/>
      <c r="C77" s="36"/>
      <c r="E77" s="25"/>
      <c r="F77"/>
      <c r="H77">
        <v>45</v>
      </c>
      <c r="I77" s="36">
        <f>$G$33*H77</f>
        <v>16.612421850014609</v>
      </c>
      <c r="J77" s="36">
        <f>I77*3600/1000</f>
        <v>59.804718660052593</v>
      </c>
      <c r="R77" s="16">
        <f>S77/60</f>
        <v>125</v>
      </c>
      <c r="S77" s="5">
        <v>7500</v>
      </c>
      <c r="T77" s="18">
        <f>(R77*$B$2*3.6)/$T$1</f>
        <v>133.72239747634072</v>
      </c>
      <c r="U77" s="18">
        <f>($R77*$B$2*3.6)/U$1</f>
        <v>156.42066420664207</v>
      </c>
      <c r="V77" s="18">
        <f>($R77*$B$2*3.6)/V$1</f>
        <v>178.109243697479</v>
      </c>
      <c r="W77" s="18">
        <f>($R77*$B$2*3.6)/W$1</f>
        <v>200.90047393364932</v>
      </c>
      <c r="X77" s="18">
        <f>($R77*$B$2*3.6)/X$1</f>
        <v>234.19889502762433</v>
      </c>
      <c r="Y77" s="18">
        <f>($R77*$B$2*3.6)/Y$1</f>
        <v>268.29113924050631</v>
      </c>
      <c r="Z77" s="18">
        <f>($R77*$B$2*3.6)/Z$1</f>
        <v>311.69117647058823</v>
      </c>
      <c r="AA77" s="18">
        <f>($R77*$B$2*3.6)/AA$1</f>
        <v>356.218487394958</v>
      </c>
    </row>
    <row r="78" spans="1:27" ht="12.75" x14ac:dyDescent="0.2">
      <c r="A78" s="30"/>
      <c r="B78" s="31"/>
      <c r="C78" s="36"/>
      <c r="E78" s="25"/>
      <c r="F78"/>
      <c r="H78">
        <v>46</v>
      </c>
      <c r="I78" s="36">
        <f>$G$33*H78</f>
        <v>16.981586780014936</v>
      </c>
      <c r="J78" s="36">
        <f>I78*3600/1000</f>
        <v>61.133712408053768</v>
      </c>
      <c r="R78" s="16">
        <f>S78/60</f>
        <v>126.66666666666667</v>
      </c>
      <c r="S78" s="5">
        <v>7600</v>
      </c>
      <c r="T78" s="18">
        <f>(R78*$B$2*3.6)/$T$1</f>
        <v>135.50536277602524</v>
      </c>
      <c r="U78" s="18">
        <f>($R78*$B$2*3.6)/U$1</f>
        <v>158.50627306273063</v>
      </c>
      <c r="V78" s="18">
        <f>($R78*$B$2*3.6)/V$1</f>
        <v>180.4840336134454</v>
      </c>
      <c r="W78" s="18">
        <f>($R78*$B$2*3.6)/W$1</f>
        <v>203.57914691943131</v>
      </c>
      <c r="X78" s="18">
        <f>($R78*$B$2*3.6)/X$1</f>
        <v>237.32154696132596</v>
      </c>
      <c r="Y78" s="18">
        <f>($R78*$B$2*3.6)/Y$1</f>
        <v>271.86835443037972</v>
      </c>
      <c r="Z78" s="18">
        <f>($R78*$B$2*3.6)/Z$1</f>
        <v>315.84705882352938</v>
      </c>
      <c r="AA78" s="18">
        <f>($R78*$B$2*3.6)/AA$1</f>
        <v>360.96806722689081</v>
      </c>
    </row>
    <row r="79" spans="1:27" ht="12.75" x14ac:dyDescent="0.2">
      <c r="A79" s="30"/>
      <c r="B79" s="32"/>
      <c r="C79" s="36"/>
      <c r="E79" s="25"/>
      <c r="F79"/>
      <c r="H79">
        <v>47</v>
      </c>
      <c r="I79" s="36">
        <f>$G$33*H79</f>
        <v>17.35075171001526</v>
      </c>
      <c r="J79" s="36">
        <f>I79*3600/1000</f>
        <v>62.462706156054935</v>
      </c>
      <c r="R79" s="16">
        <f>S79/60</f>
        <v>128.33333333333334</v>
      </c>
      <c r="S79" s="5">
        <v>7700</v>
      </c>
      <c r="T79" s="18">
        <f>(R79*$B$2*3.6)/$T$1</f>
        <v>137.28832807570981</v>
      </c>
      <c r="U79" s="18">
        <f>($R79*$B$2*3.6)/U$1</f>
        <v>160.59188191881921</v>
      </c>
      <c r="V79" s="18">
        <f>($R79*$B$2*3.6)/V$1</f>
        <v>182.85882352941181</v>
      </c>
      <c r="W79" s="18">
        <f>($R79*$B$2*3.6)/W$1</f>
        <v>206.25781990521332</v>
      </c>
      <c r="X79" s="18">
        <f>($R79*$B$2*3.6)/X$1</f>
        <v>240.44419889502765</v>
      </c>
      <c r="Y79" s="18">
        <f>($R79*$B$2*3.6)/Y$1</f>
        <v>275.4455696202532</v>
      </c>
      <c r="Z79" s="18">
        <f>($R79*$B$2*3.6)/Z$1</f>
        <v>320.00294117647059</v>
      </c>
      <c r="AA79" s="18">
        <f>($R79*$B$2*3.6)/AA$1</f>
        <v>365.71764705882362</v>
      </c>
    </row>
    <row r="80" spans="1:27" ht="12.75" x14ac:dyDescent="0.2">
      <c r="A80" s="30"/>
      <c r="B80" s="31"/>
      <c r="C80" s="36"/>
      <c r="E80" s="25"/>
      <c r="F80"/>
      <c r="H80">
        <v>48</v>
      </c>
      <c r="I80" s="36">
        <f>$G$33*H80</f>
        <v>17.719916640015583</v>
      </c>
      <c r="J80" s="36">
        <f>I80*3600/1000</f>
        <v>63.791699904056095</v>
      </c>
      <c r="R80" s="16">
        <f>S80/60</f>
        <v>130</v>
      </c>
      <c r="S80" s="5">
        <v>7800</v>
      </c>
      <c r="T80" s="18">
        <f>(R80*$B$2*3.6)/$T$1</f>
        <v>139.07129337539433</v>
      </c>
      <c r="U80" s="18">
        <f>($R80*$B$2*3.6)/U$1</f>
        <v>162.67749077490777</v>
      </c>
      <c r="V80" s="18">
        <f>($R80*$B$2*3.6)/V$1</f>
        <v>185.23361344537818</v>
      </c>
      <c r="W80" s="18">
        <f>($R80*$B$2*3.6)/W$1</f>
        <v>208.93649289099531</v>
      </c>
      <c r="X80" s="18">
        <f>($R80*$B$2*3.6)/X$1</f>
        <v>243.56685082872932</v>
      </c>
      <c r="Y80" s="18">
        <f>($R80*$B$2*3.6)/Y$1</f>
        <v>279.02278481012661</v>
      </c>
      <c r="Z80" s="18">
        <f>($R80*$B$2*3.6)/Z$1</f>
        <v>324.15882352941179</v>
      </c>
      <c r="AA80" s="18">
        <f>($R80*$B$2*3.6)/AA$1</f>
        <v>370.46722689075636</v>
      </c>
    </row>
    <row r="81" spans="1:27" ht="12.75" x14ac:dyDescent="0.2">
      <c r="A81" s="30"/>
      <c r="B81" s="32"/>
      <c r="C81" s="36"/>
      <c r="E81" s="25"/>
      <c r="F81"/>
      <c r="H81">
        <v>49</v>
      </c>
      <c r="I81" s="36">
        <f>$G$33*H81</f>
        <v>18.08908157001591</v>
      </c>
      <c r="J81" s="36">
        <f>I81*3600/1000</f>
        <v>65.120693652057284</v>
      </c>
      <c r="R81" s="16">
        <f>S81/60</f>
        <v>131.66666666666666</v>
      </c>
      <c r="S81" s="5">
        <v>7900</v>
      </c>
      <c r="T81" s="18">
        <f>(R81*$B$2*3.6)/$T$1</f>
        <v>140.85425867507888</v>
      </c>
      <c r="U81" s="18">
        <f>($R81*$B$2*3.6)/U$1</f>
        <v>164.76309963099632</v>
      </c>
      <c r="V81" s="18">
        <f>($R81*$B$2*3.6)/V$1</f>
        <v>187.60840336134456</v>
      </c>
      <c r="W81" s="18">
        <f>($R81*$B$2*3.6)/W$1</f>
        <v>211.61516587677727</v>
      </c>
      <c r="X81" s="18">
        <f>($R81*$B$2*3.6)/X$1</f>
        <v>246.68950276243095</v>
      </c>
      <c r="Y81" s="18">
        <f>($R81*$B$2*3.6)/Y$1</f>
        <v>282.60000000000002</v>
      </c>
      <c r="Z81" s="18">
        <f>($R81*$B$2*3.6)/Z$1</f>
        <v>328.31470588235294</v>
      </c>
      <c r="AA81" s="18">
        <f>($R81*$B$2*3.6)/AA$1</f>
        <v>375.21680672268911</v>
      </c>
    </row>
    <row r="82" spans="1:27" ht="12.75" x14ac:dyDescent="0.2">
      <c r="A82" s="30"/>
      <c r="B82" s="31"/>
      <c r="C82" s="36"/>
      <c r="E82" s="25"/>
      <c r="F82"/>
      <c r="H82">
        <v>50</v>
      </c>
      <c r="I82" s="36">
        <f>$G$33*H82</f>
        <v>18.458246500016234</v>
      </c>
      <c r="J82" s="36">
        <f>I82*3600/1000</f>
        <v>66.449687400058437</v>
      </c>
      <c r="R82" s="22">
        <f>S82/60</f>
        <v>133.33333333333334</v>
      </c>
      <c r="S82" s="26">
        <v>8000</v>
      </c>
      <c r="T82" s="23">
        <f>(R82*$B$2*3.6)/$T$1</f>
        <v>142.63722397476343</v>
      </c>
      <c r="U82" s="23">
        <f>($R82*$B$2*3.6)/U$1</f>
        <v>166.84870848708491</v>
      </c>
      <c r="V82" s="23">
        <f>($R82*$B$2*3.6)/V$1</f>
        <v>189.98319327731096</v>
      </c>
      <c r="W82" s="23">
        <f>($R82*$B$2*3.6)/W$1</f>
        <v>214.29383886255928</v>
      </c>
      <c r="X82" s="23">
        <f>($R82*$B$2*3.6)/X$1</f>
        <v>249.81215469613264</v>
      </c>
      <c r="Y82" s="23">
        <f>($R82*$B$2*3.6)/Y$1</f>
        <v>286.17721518987344</v>
      </c>
      <c r="Z82" s="23">
        <f>($R82*$B$2*3.6)/Z$1</f>
        <v>332.47058823529414</v>
      </c>
      <c r="AA82" s="23">
        <f>($R82*$B$2*3.6)/AA$1</f>
        <v>379.96638655462192</v>
      </c>
    </row>
    <row r="83" spans="1:27" ht="12.75" x14ac:dyDescent="0.2">
      <c r="A83" s="30"/>
      <c r="B83" s="32"/>
      <c r="C83" s="36"/>
      <c r="E83" s="24"/>
      <c r="F83"/>
      <c r="G83" s="16"/>
      <c r="H83">
        <v>51</v>
      </c>
      <c r="I83" s="36">
        <f>$G$33*H83</f>
        <v>18.827411430016561</v>
      </c>
      <c r="J83" s="36">
        <f>I83*3600/1000</f>
        <v>67.778681148059619</v>
      </c>
    </row>
    <row r="84" spans="1:27" ht="12.75" x14ac:dyDescent="0.2">
      <c r="A84" s="30"/>
      <c r="B84" s="31"/>
      <c r="C84" s="36"/>
      <c r="E84" s="24"/>
      <c r="F84"/>
      <c r="G84" s="16"/>
      <c r="H84">
        <v>52</v>
      </c>
      <c r="I84" s="36">
        <f>$G$33*H84</f>
        <v>19.196576360016884</v>
      </c>
      <c r="J84" s="36">
        <f>I84*3600/1000</f>
        <v>69.107674896060786</v>
      </c>
    </row>
    <row r="85" spans="1:27" ht="12.75" x14ac:dyDescent="0.2">
      <c r="A85" s="30"/>
      <c r="B85" s="32"/>
      <c r="C85" s="36"/>
      <c r="E85" s="24"/>
      <c r="F85"/>
      <c r="G85" s="16"/>
      <c r="H85">
        <v>53</v>
      </c>
      <c r="I85" s="36">
        <f>$G$33*H85</f>
        <v>19.565741290017208</v>
      </c>
      <c r="J85" s="36">
        <f>I85*3600/1000</f>
        <v>70.436668644061953</v>
      </c>
    </row>
    <row r="86" spans="1:27" ht="12.75" x14ac:dyDescent="0.2">
      <c r="A86" s="30"/>
      <c r="B86" s="31"/>
      <c r="C86" s="36"/>
      <c r="E86" s="24"/>
      <c r="F86"/>
      <c r="G86" s="16"/>
      <c r="H86">
        <v>54</v>
      </c>
      <c r="I86" s="36">
        <f>$G$33*H86</f>
        <v>19.934906220017535</v>
      </c>
      <c r="J86" s="36">
        <f>I86*3600/1000</f>
        <v>71.76566239206312</v>
      </c>
    </row>
    <row r="87" spans="1:27" ht="12.75" x14ac:dyDescent="0.2">
      <c r="A87" s="30"/>
      <c r="B87" s="32"/>
      <c r="C87" s="36"/>
      <c r="E87" s="24"/>
      <c r="F87"/>
      <c r="G87" s="16"/>
      <c r="H87">
        <v>55</v>
      </c>
      <c r="I87" s="36">
        <f>$G$33*H87</f>
        <v>20.304071150017858</v>
      </c>
      <c r="J87" s="36">
        <f>I87*3600/1000</f>
        <v>73.094656140064288</v>
      </c>
    </row>
    <row r="88" spans="1:27" ht="12.75" x14ac:dyDescent="0.2">
      <c r="A88" s="30"/>
      <c r="B88" s="31"/>
      <c r="C88" s="36"/>
      <c r="E88" s="24"/>
      <c r="F88"/>
      <c r="G88" s="16"/>
      <c r="H88">
        <v>56</v>
      </c>
      <c r="I88" s="36">
        <f>$G$33*H88</f>
        <v>20.673236080018182</v>
      </c>
      <c r="J88" s="36">
        <f>I88*3600/1000</f>
        <v>74.423649888065455</v>
      </c>
    </row>
    <row r="89" spans="1:27" ht="12.75" x14ac:dyDescent="0.2">
      <c r="A89" s="30"/>
      <c r="B89" s="32"/>
      <c r="C89" s="36"/>
      <c r="E89" s="24"/>
      <c r="F89"/>
      <c r="G89" s="16"/>
      <c r="H89">
        <v>57</v>
      </c>
      <c r="I89" s="36">
        <f>$G$33*H89</f>
        <v>21.042401010018509</v>
      </c>
      <c r="J89" s="36">
        <f>I89*3600/1000</f>
        <v>75.752643636066622</v>
      </c>
    </row>
    <row r="90" spans="1:27" ht="12.75" x14ac:dyDescent="0.2">
      <c r="A90" s="30"/>
      <c r="B90" s="31"/>
      <c r="C90" s="36"/>
      <c r="E90" s="24"/>
      <c r="F90"/>
      <c r="G90" s="16"/>
      <c r="H90">
        <v>58</v>
      </c>
      <c r="I90" s="36">
        <f>$G$33*H90</f>
        <v>21.411565940018832</v>
      </c>
      <c r="J90" s="36">
        <f>I90*3600/1000</f>
        <v>77.081637384067804</v>
      </c>
    </row>
    <row r="91" spans="1:27" ht="12.75" x14ac:dyDescent="0.2">
      <c r="E91" s="24"/>
      <c r="F91"/>
      <c r="G91" s="16"/>
      <c r="H91">
        <v>59</v>
      </c>
      <c r="I91" s="36">
        <f>$G$33*H91</f>
        <v>21.780730870019156</v>
      </c>
      <c r="J91" s="36">
        <f>I91*3600/1000</f>
        <v>78.410631132068957</v>
      </c>
    </row>
    <row r="92" spans="1:27" ht="12.75" x14ac:dyDescent="0.2">
      <c r="E92" s="24"/>
      <c r="F92"/>
      <c r="G92" s="16"/>
      <c r="H92">
        <v>60</v>
      </c>
      <c r="I92" s="36">
        <f>$G$33*H92</f>
        <v>22.149895800019483</v>
      </c>
      <c r="J92" s="36">
        <f>I92*3600/1000</f>
        <v>79.739624880070139</v>
      </c>
    </row>
    <row r="93" spans="1:27" ht="12.75" x14ac:dyDescent="0.2">
      <c r="D93" s="22"/>
      <c r="F93" s="24"/>
      <c r="H93" s="16"/>
      <c r="J93" s="36"/>
      <c r="K93" s="36"/>
    </row>
    <row r="94" spans="1:27" ht="12.75" x14ac:dyDescent="0.2">
      <c r="D94" s="16"/>
      <c r="F94" s="24"/>
      <c r="H94" s="16"/>
      <c r="J94" s="36"/>
      <c r="K94" s="36"/>
    </row>
    <row r="95" spans="1:27" ht="12.75" x14ac:dyDescent="0.2">
      <c r="D95" s="16"/>
      <c r="F95" s="24"/>
      <c r="H95" s="16"/>
      <c r="J95" s="36"/>
      <c r="K95" s="36"/>
    </row>
    <row r="96" spans="1:27" ht="12.75" x14ac:dyDescent="0.2">
      <c r="D96" s="16"/>
      <c r="F96" s="24"/>
      <c r="H96" s="16"/>
      <c r="J96" s="36"/>
      <c r="K96" s="36"/>
    </row>
    <row r="97" spans="4:11" ht="12.75" x14ac:dyDescent="0.2">
      <c r="D97" s="16"/>
      <c r="F97" s="24"/>
      <c r="H97" s="16"/>
      <c r="J97" s="36"/>
      <c r="K97" s="36"/>
    </row>
    <row r="98" spans="4:11" ht="12.75" x14ac:dyDescent="0.2">
      <c r="D98" s="16"/>
      <c r="F98" s="24"/>
      <c r="H98" s="16"/>
      <c r="J98" s="36"/>
      <c r="K98" s="36"/>
    </row>
    <row r="99" spans="4:11" ht="12.75" x14ac:dyDescent="0.2">
      <c r="D99" s="16"/>
      <c r="F99" s="24"/>
      <c r="H99" s="16"/>
      <c r="J99" s="36"/>
      <c r="K99" s="36"/>
    </row>
    <row r="100" spans="4:11" ht="12.75" x14ac:dyDescent="0.2">
      <c r="D100" s="16"/>
      <c r="F100" s="24"/>
      <c r="H100" s="16"/>
      <c r="J100" s="36"/>
      <c r="K100" s="36"/>
    </row>
    <row r="101" spans="4:11" ht="12.75" x14ac:dyDescent="0.2">
      <c r="D101" s="16"/>
      <c r="F101" s="24"/>
      <c r="H101" s="16"/>
      <c r="J101" s="36"/>
      <c r="K101" s="36"/>
    </row>
    <row r="102" spans="4:11" ht="12.75" x14ac:dyDescent="0.2">
      <c r="D102" s="16"/>
      <c r="F102" s="24"/>
      <c r="H102" s="16"/>
      <c r="J102" s="36"/>
      <c r="K102" s="36"/>
    </row>
    <row r="103" spans="4:11" ht="12.75" x14ac:dyDescent="0.2">
      <c r="D103" s="22"/>
      <c r="F103" s="24"/>
      <c r="H103" s="16"/>
      <c r="J103" s="36"/>
      <c r="K103" s="36"/>
    </row>
    <row r="104" spans="4:11" ht="12.75" x14ac:dyDescent="0.2">
      <c r="D104" s="16"/>
      <c r="F104" s="24"/>
      <c r="H104" s="16"/>
      <c r="J104" s="36"/>
      <c r="K104" s="36"/>
    </row>
    <row r="105" spans="4:11" ht="12.75" x14ac:dyDescent="0.2">
      <c r="D105" s="16"/>
      <c r="F105" s="24"/>
      <c r="H105" s="16"/>
      <c r="J105" s="36"/>
      <c r="K105" s="36"/>
    </row>
    <row r="106" spans="4:11" ht="12.75" x14ac:dyDescent="0.2">
      <c r="D106" s="16"/>
      <c r="F106" s="24"/>
      <c r="H106" s="16"/>
      <c r="J106" s="36"/>
      <c r="K106" s="36"/>
    </row>
    <row r="107" spans="4:11" ht="12.75" x14ac:dyDescent="0.2">
      <c r="D107" s="16"/>
      <c r="F107" s="24"/>
      <c r="H107" s="16"/>
      <c r="J107" s="36"/>
      <c r="K107" s="36"/>
    </row>
    <row r="108" spans="4:11" ht="12.75" x14ac:dyDescent="0.2">
      <c r="D108" s="16"/>
      <c r="F108" s="24"/>
      <c r="H108" s="16"/>
      <c r="J108" s="36"/>
      <c r="K108" s="36"/>
    </row>
    <row r="109" spans="4:11" ht="12.75" x14ac:dyDescent="0.2">
      <c r="D109" s="16"/>
      <c r="F109" s="24"/>
      <c r="H109" s="16"/>
      <c r="J109" s="36"/>
      <c r="K109" s="36"/>
    </row>
    <row r="110" spans="4:11" ht="12.75" x14ac:dyDescent="0.2">
      <c r="D110" s="16"/>
      <c r="F110" s="24"/>
      <c r="H110" s="16"/>
      <c r="J110" s="36"/>
      <c r="K110" s="36"/>
    </row>
    <row r="111" spans="4:11" ht="12.75" x14ac:dyDescent="0.2">
      <c r="D111" s="16"/>
      <c r="F111" s="24"/>
      <c r="H111" s="16"/>
      <c r="J111" s="36"/>
      <c r="K111" s="36"/>
    </row>
    <row r="112" spans="4:11" ht="12.75" x14ac:dyDescent="0.2">
      <c r="D112" s="16"/>
      <c r="F112" s="24"/>
      <c r="H112" s="16"/>
      <c r="J112" s="36"/>
      <c r="K112" s="36"/>
    </row>
    <row r="113" spans="4:11" ht="12.75" x14ac:dyDescent="0.2">
      <c r="D113" s="22"/>
      <c r="F113" s="24"/>
      <c r="H113" s="16"/>
      <c r="J113" s="36"/>
      <c r="K113" s="36"/>
    </row>
    <row r="114" spans="4:11" ht="12.75" x14ac:dyDescent="0.2">
      <c r="F114" s="24"/>
      <c r="H114" s="16"/>
    </row>
    <row r="115" spans="4:11" ht="12.75" x14ac:dyDescent="0.2">
      <c r="F115" s="24"/>
      <c r="H115" s="16"/>
    </row>
    <row r="116" spans="4:11" ht="12.75" x14ac:dyDescent="0.2">
      <c r="F116" s="24"/>
      <c r="H116" s="16"/>
    </row>
    <row r="117" spans="4:11" ht="12.75" x14ac:dyDescent="0.2">
      <c r="F117" s="24"/>
      <c r="H117" s="16"/>
    </row>
    <row r="118" spans="4:11" ht="12.75" x14ac:dyDescent="0.2">
      <c r="F118" s="24"/>
      <c r="H118" s="16"/>
    </row>
    <row r="119" spans="4:11" ht="12.75" x14ac:dyDescent="0.2">
      <c r="F119" s="24"/>
      <c r="H119" s="16"/>
    </row>
    <row r="120" spans="4:11" ht="12.75" x14ac:dyDescent="0.2">
      <c r="F120" s="24"/>
      <c r="H120" s="16"/>
    </row>
    <row r="121" spans="4:11" ht="12.75" x14ac:dyDescent="0.2">
      <c r="F121" s="24"/>
      <c r="H121" s="16"/>
    </row>
    <row r="122" spans="4:11" ht="12.75" x14ac:dyDescent="0.2">
      <c r="F122" s="24"/>
      <c r="H122" s="16"/>
    </row>
    <row r="123" spans="4:11" ht="12.75" x14ac:dyDescent="0.2">
      <c r="F123" s="24"/>
      <c r="H123" s="16"/>
    </row>
    <row r="124" spans="4:11" ht="12.75" x14ac:dyDescent="0.2">
      <c r="F124" s="24"/>
      <c r="H124" s="16"/>
    </row>
    <row r="125" spans="4:11" ht="12.75" x14ac:dyDescent="0.2">
      <c r="F125" s="24"/>
      <c r="H125" s="16"/>
    </row>
    <row r="126" spans="4:11" ht="12.75" x14ac:dyDescent="0.2">
      <c r="F126" s="24"/>
      <c r="H126" s="16"/>
    </row>
    <row r="127" spans="4:11" ht="12.75" x14ac:dyDescent="0.2">
      <c r="F127" s="24"/>
      <c r="H127" s="16"/>
    </row>
    <row r="128" spans="4:11" ht="12.75" x14ac:dyDescent="0.2">
      <c r="F128" s="24"/>
      <c r="H128" s="16"/>
    </row>
    <row r="129" spans="6:8" ht="12.75" x14ac:dyDescent="0.2">
      <c r="F129" s="24"/>
      <c r="H129" s="16"/>
    </row>
    <row r="130" spans="6:8" ht="12.75" x14ac:dyDescent="0.2">
      <c r="F130" s="24"/>
      <c r="H130" s="16"/>
    </row>
    <row r="131" spans="6:8" ht="12.75" x14ac:dyDescent="0.2">
      <c r="F131" s="24"/>
      <c r="H131" s="16"/>
    </row>
    <row r="132" spans="6:8" ht="12.75" x14ac:dyDescent="0.2">
      <c r="F132" s="24"/>
      <c r="H132" s="16"/>
    </row>
    <row r="133" spans="6:8" ht="12.75" x14ac:dyDescent="0.2">
      <c r="F133" s="24"/>
      <c r="H133" s="16"/>
    </row>
    <row r="134" spans="6:8" ht="12.75" x14ac:dyDescent="0.2">
      <c r="F134" s="24"/>
      <c r="H134" s="16"/>
    </row>
    <row r="135" spans="6:8" ht="12.75" x14ac:dyDescent="0.2">
      <c r="F135" s="24"/>
      <c r="H135" s="16"/>
    </row>
    <row r="136" spans="6:8" ht="12.75" x14ac:dyDescent="0.2">
      <c r="F136" s="24"/>
      <c r="H136" s="16"/>
    </row>
    <row r="137" spans="6:8" ht="12.75" x14ac:dyDescent="0.2">
      <c r="F137" s="24"/>
      <c r="H137" s="16"/>
    </row>
    <row r="138" spans="6:8" ht="12.75" x14ac:dyDescent="0.2">
      <c r="F138" s="24"/>
      <c r="H138" s="16"/>
    </row>
    <row r="139" spans="6:8" ht="12.75" x14ac:dyDescent="0.2">
      <c r="F139" s="24"/>
      <c r="H139" s="16"/>
    </row>
    <row r="140" spans="6:8" ht="12.75" x14ac:dyDescent="0.2">
      <c r="F140" s="24"/>
      <c r="H140" s="16"/>
    </row>
    <row r="141" spans="6:8" ht="12.75" x14ac:dyDescent="0.2">
      <c r="F141" s="24"/>
      <c r="H141" s="16"/>
    </row>
    <row r="142" spans="6:8" ht="12.75" x14ac:dyDescent="0.2">
      <c r="F142" s="24"/>
      <c r="H142" s="16"/>
    </row>
    <row r="143" spans="6:8" ht="12.75" x14ac:dyDescent="0.2">
      <c r="F143" s="24"/>
      <c r="H143" s="16"/>
    </row>
    <row r="144" spans="6:8" ht="12.75" x14ac:dyDescent="0.2">
      <c r="F144" s="24"/>
      <c r="H144" s="16"/>
    </row>
    <row r="145" spans="6:8" ht="12.75" x14ac:dyDescent="0.2">
      <c r="F145" s="24"/>
      <c r="H145" s="16"/>
    </row>
    <row r="146" spans="6:8" ht="12.75" x14ac:dyDescent="0.2">
      <c r="F146" s="24"/>
      <c r="H146" s="16"/>
    </row>
    <row r="147" spans="6:8" ht="12.75" x14ac:dyDescent="0.2">
      <c r="F147" s="24"/>
      <c r="H147" s="16"/>
    </row>
    <row r="148" spans="6:8" ht="12.75" x14ac:dyDescent="0.2">
      <c r="F148" s="24"/>
      <c r="H148" s="16"/>
    </row>
    <row r="149" spans="6:8" ht="12.75" x14ac:dyDescent="0.2">
      <c r="F149" s="24"/>
      <c r="H149" s="16"/>
    </row>
    <row r="150" spans="6:8" ht="12.75" x14ac:dyDescent="0.2">
      <c r="F150" s="24"/>
      <c r="H150" s="16"/>
    </row>
    <row r="151" spans="6:8" ht="12.75" x14ac:dyDescent="0.2">
      <c r="F151" s="24"/>
      <c r="H151" s="16"/>
    </row>
    <row r="152" spans="6:8" ht="12.75" x14ac:dyDescent="0.2">
      <c r="F152" s="24"/>
      <c r="H152" s="16"/>
    </row>
    <row r="153" spans="6:8" ht="12.75" x14ac:dyDescent="0.2">
      <c r="F153" s="24"/>
      <c r="H153" s="16"/>
    </row>
    <row r="154" spans="6:8" ht="12.75" x14ac:dyDescent="0.2">
      <c r="F154" s="24"/>
      <c r="H154" s="16"/>
    </row>
    <row r="155" spans="6:8" ht="12.75" x14ac:dyDescent="0.2">
      <c r="F155" s="24"/>
      <c r="H155" s="16"/>
    </row>
    <row r="156" spans="6:8" ht="12.75" x14ac:dyDescent="0.2">
      <c r="F156" s="24"/>
      <c r="H156" s="16"/>
    </row>
    <row r="157" spans="6:8" ht="12.75" x14ac:dyDescent="0.2">
      <c r="F157" s="24"/>
      <c r="H157" s="16"/>
    </row>
    <row r="158" spans="6:8" ht="12.75" x14ac:dyDescent="0.2">
      <c r="F158" s="24"/>
      <c r="H158" s="16"/>
    </row>
    <row r="159" spans="6:8" ht="12.75" x14ac:dyDescent="0.2">
      <c r="F159" s="24"/>
      <c r="H159" s="16"/>
    </row>
    <row r="160" spans="6:8" ht="12.75" x14ac:dyDescent="0.2">
      <c r="F160" s="24"/>
      <c r="H160" s="16"/>
    </row>
    <row r="161" spans="6:8" ht="12.75" x14ac:dyDescent="0.2">
      <c r="F161" s="24"/>
      <c r="H161" s="16"/>
    </row>
    <row r="162" spans="6:8" ht="12.75" x14ac:dyDescent="0.2">
      <c r="F162" s="24"/>
      <c r="H162" s="16"/>
    </row>
    <row r="163" spans="6:8" ht="12.75" x14ac:dyDescent="0.2">
      <c r="F163" s="24"/>
      <c r="H163" s="16"/>
    </row>
    <row r="164" spans="6:8" ht="12.75" x14ac:dyDescent="0.2">
      <c r="F164" s="24"/>
      <c r="H164" s="16"/>
    </row>
    <row r="165" spans="6:8" ht="12.75" x14ac:dyDescent="0.2">
      <c r="F165" s="24"/>
      <c r="H165" s="16"/>
    </row>
    <row r="166" spans="6:8" ht="12.75" x14ac:dyDescent="0.2">
      <c r="F166" s="24"/>
      <c r="H166" s="16"/>
    </row>
    <row r="167" spans="6:8" ht="12.75" x14ac:dyDescent="0.2">
      <c r="F167" s="24"/>
      <c r="H167" s="16"/>
    </row>
    <row r="168" spans="6:8" ht="12.75" x14ac:dyDescent="0.2">
      <c r="F168" s="24"/>
      <c r="H168" s="16"/>
    </row>
    <row r="169" spans="6:8" ht="12.75" x14ac:dyDescent="0.2">
      <c r="F169" s="24"/>
      <c r="H169" s="16"/>
    </row>
    <row r="170" spans="6:8" ht="12.75" x14ac:dyDescent="0.2">
      <c r="F170" s="24"/>
      <c r="H170" s="16"/>
    </row>
    <row r="171" spans="6:8" ht="12.75" x14ac:dyDescent="0.2">
      <c r="F171" s="24"/>
      <c r="H171" s="16"/>
    </row>
    <row r="172" spans="6:8" ht="12.75" x14ac:dyDescent="0.2">
      <c r="F172" s="24"/>
      <c r="H172" s="16"/>
    </row>
    <row r="173" spans="6:8" ht="12.75" x14ac:dyDescent="0.2">
      <c r="F173" s="24"/>
      <c r="H173" s="16"/>
    </row>
    <row r="174" spans="6:8" ht="12.75" x14ac:dyDescent="0.2">
      <c r="F174" s="24"/>
      <c r="H174" s="16"/>
    </row>
    <row r="175" spans="6:8" ht="12.75" x14ac:dyDescent="0.2">
      <c r="F175" s="24"/>
      <c r="H175" s="16"/>
    </row>
    <row r="176" spans="6:8" ht="12.75" x14ac:dyDescent="0.2">
      <c r="F176" s="24"/>
      <c r="H176" s="16"/>
    </row>
    <row r="177" spans="6:8" ht="12.75" x14ac:dyDescent="0.2">
      <c r="F177" s="24"/>
      <c r="H177" s="16"/>
    </row>
    <row r="178" spans="6:8" ht="12.75" x14ac:dyDescent="0.2">
      <c r="F178" s="24"/>
      <c r="H178" s="16"/>
    </row>
    <row r="179" spans="6:8" ht="12.75" x14ac:dyDescent="0.2">
      <c r="F179" s="24"/>
      <c r="H179" s="16"/>
    </row>
    <row r="180" spans="6:8" ht="12.75" x14ac:dyDescent="0.2">
      <c r="F180" s="24"/>
      <c r="H180" s="16"/>
    </row>
    <row r="181" spans="6:8" ht="12.75" x14ac:dyDescent="0.2">
      <c r="F181" s="24"/>
      <c r="H181" s="16"/>
    </row>
    <row r="182" spans="6:8" ht="12.75" x14ac:dyDescent="0.2">
      <c r="F182" s="24"/>
      <c r="H182" s="16"/>
    </row>
    <row r="183" spans="6:8" ht="12.75" x14ac:dyDescent="0.2">
      <c r="F183" s="24"/>
      <c r="H183" s="16"/>
    </row>
    <row r="184" spans="6:8" ht="12.75" x14ac:dyDescent="0.2">
      <c r="F184" s="24"/>
      <c r="H184" s="16"/>
    </row>
    <row r="185" spans="6:8" ht="12.75" x14ac:dyDescent="0.2">
      <c r="F185" s="24"/>
      <c r="H185" s="16"/>
    </row>
    <row r="186" spans="6:8" ht="12.75" x14ac:dyDescent="0.2">
      <c r="F186" s="24"/>
      <c r="H186" s="16"/>
    </row>
    <row r="187" spans="6:8" ht="12.75" x14ac:dyDescent="0.2">
      <c r="F187" s="24"/>
      <c r="H187" s="16"/>
    </row>
    <row r="188" spans="6:8" ht="12.75" x14ac:dyDescent="0.2">
      <c r="F188" s="24"/>
      <c r="H188" s="16"/>
    </row>
    <row r="189" spans="6:8" ht="12.75" x14ac:dyDescent="0.2">
      <c r="F189" s="24"/>
      <c r="H189" s="16"/>
    </row>
    <row r="190" spans="6:8" ht="12.75" x14ac:dyDescent="0.2">
      <c r="F190" s="24"/>
      <c r="H190" s="16"/>
    </row>
    <row r="191" spans="6:8" ht="12.75" x14ac:dyDescent="0.2">
      <c r="F191" s="24"/>
      <c r="H191" s="16"/>
    </row>
    <row r="192" spans="6:8" ht="12.75" x14ac:dyDescent="0.2">
      <c r="F192" s="24"/>
      <c r="H192" s="16"/>
    </row>
    <row r="193" spans="6:8" ht="12.75" x14ac:dyDescent="0.2">
      <c r="F193" s="24"/>
      <c r="H193" s="16"/>
    </row>
    <row r="194" spans="6:8" ht="12.75" x14ac:dyDescent="0.2">
      <c r="F194" s="24"/>
      <c r="H194" s="16"/>
    </row>
    <row r="195" spans="6:8" ht="12.75" x14ac:dyDescent="0.2">
      <c r="F195" s="24"/>
      <c r="H195" s="16"/>
    </row>
    <row r="196" spans="6:8" ht="12.75" x14ac:dyDescent="0.2">
      <c r="F196" s="24"/>
      <c r="H196" s="16"/>
    </row>
    <row r="197" spans="6:8" ht="12.75" x14ac:dyDescent="0.2">
      <c r="F197" s="24"/>
      <c r="H197" s="16"/>
    </row>
    <row r="198" spans="6:8" ht="12.75" x14ac:dyDescent="0.2">
      <c r="F198" s="24"/>
      <c r="H198" s="16"/>
    </row>
    <row r="199" spans="6:8" ht="12.75" x14ac:dyDescent="0.2">
      <c r="F199" s="24"/>
      <c r="H199" s="16"/>
    </row>
    <row r="200" spans="6:8" ht="12.75" x14ac:dyDescent="0.2">
      <c r="F200" s="24"/>
      <c r="H200" s="16"/>
    </row>
    <row r="201" spans="6:8" ht="12.75" x14ac:dyDescent="0.2">
      <c r="F201" s="24"/>
      <c r="H201" s="16"/>
    </row>
    <row r="202" spans="6:8" ht="12.75" x14ac:dyDescent="0.2">
      <c r="F202" s="24"/>
      <c r="H202" s="16"/>
    </row>
    <row r="203" spans="6:8" ht="12.75" x14ac:dyDescent="0.2">
      <c r="F203" s="24"/>
      <c r="H203" s="16"/>
    </row>
    <row r="204" spans="6:8" ht="12.75" x14ac:dyDescent="0.2">
      <c r="F204" s="24"/>
      <c r="H204" s="16"/>
    </row>
    <row r="205" spans="6:8" ht="12.75" x14ac:dyDescent="0.2">
      <c r="F205" s="24"/>
      <c r="H205" s="16"/>
    </row>
    <row r="206" spans="6:8" ht="12.75" x14ac:dyDescent="0.2">
      <c r="F206" s="24"/>
      <c r="H206" s="16"/>
    </row>
    <row r="207" spans="6:8" ht="12.75" x14ac:dyDescent="0.2">
      <c r="F207" s="24"/>
      <c r="H207" s="16"/>
    </row>
    <row r="208" spans="6:8" ht="12.75" x14ac:dyDescent="0.2">
      <c r="F208" s="24"/>
      <c r="H208" s="16"/>
    </row>
    <row r="209" spans="6:8" ht="12.75" x14ac:dyDescent="0.2">
      <c r="F209" s="24"/>
      <c r="H209" s="16"/>
    </row>
    <row r="210" spans="6:8" ht="12.75" x14ac:dyDescent="0.2">
      <c r="F210" s="24"/>
      <c r="H210" s="16"/>
    </row>
    <row r="211" spans="6:8" ht="12.75" x14ac:dyDescent="0.2">
      <c r="F211" s="24"/>
      <c r="H211" s="16"/>
    </row>
    <row r="212" spans="6:8" ht="12.75" x14ac:dyDescent="0.2">
      <c r="F212" s="24"/>
      <c r="H212" s="16"/>
    </row>
    <row r="213" spans="6:8" ht="12.75" x14ac:dyDescent="0.2">
      <c r="F213" s="24"/>
      <c r="H213" s="16"/>
    </row>
    <row r="214" spans="6:8" ht="12.75" x14ac:dyDescent="0.2">
      <c r="F214" s="24"/>
      <c r="H214" s="16"/>
    </row>
    <row r="215" spans="6:8" ht="12.75" x14ac:dyDescent="0.2">
      <c r="F215" s="24"/>
      <c r="H215" s="16"/>
    </row>
    <row r="216" spans="6:8" ht="12.75" x14ac:dyDescent="0.2">
      <c r="F216" s="24"/>
      <c r="H216" s="16"/>
    </row>
    <row r="217" spans="6:8" ht="12.75" x14ac:dyDescent="0.2">
      <c r="F217" s="24"/>
      <c r="H217" s="16"/>
    </row>
    <row r="218" spans="6:8" ht="12.75" x14ac:dyDescent="0.2">
      <c r="F218" s="24"/>
      <c r="H218" s="16"/>
    </row>
    <row r="219" spans="6:8" ht="12.75" x14ac:dyDescent="0.2">
      <c r="F219" s="24"/>
      <c r="H219" s="16"/>
    </row>
    <row r="220" spans="6:8" ht="12.75" x14ac:dyDescent="0.2">
      <c r="F220" s="24"/>
      <c r="H220" s="16"/>
    </row>
    <row r="221" spans="6:8" ht="12.75" x14ac:dyDescent="0.2">
      <c r="F221" s="24"/>
      <c r="H221" s="16"/>
    </row>
    <row r="222" spans="6:8" ht="12.75" x14ac:dyDescent="0.2">
      <c r="F222" s="24"/>
      <c r="H222" s="16"/>
    </row>
    <row r="223" spans="6:8" ht="12.75" x14ac:dyDescent="0.2">
      <c r="F223" s="24"/>
      <c r="H223" s="16"/>
    </row>
    <row r="224" spans="6:8" ht="12.75" x14ac:dyDescent="0.2">
      <c r="F224" s="24"/>
      <c r="H224" s="16"/>
    </row>
    <row r="225" spans="6:8" ht="12.75" x14ac:dyDescent="0.2">
      <c r="F225" s="24"/>
      <c r="H225" s="16"/>
    </row>
    <row r="226" spans="6:8" ht="12.75" x14ac:dyDescent="0.2">
      <c r="F226" s="24"/>
      <c r="H226" s="16"/>
    </row>
    <row r="227" spans="6:8" ht="12.75" x14ac:dyDescent="0.2">
      <c r="F227" s="24"/>
      <c r="H227" s="16"/>
    </row>
    <row r="228" spans="6:8" ht="12.75" x14ac:dyDescent="0.2">
      <c r="F228" s="24"/>
      <c r="H228" s="16"/>
    </row>
    <row r="229" spans="6:8" ht="12.75" x14ac:dyDescent="0.2">
      <c r="F229" s="24"/>
      <c r="H229" s="16"/>
    </row>
    <row r="230" spans="6:8" ht="12.75" x14ac:dyDescent="0.2">
      <c r="F230" s="24"/>
      <c r="H230" s="16"/>
    </row>
    <row r="231" spans="6:8" ht="12.75" x14ac:dyDescent="0.2">
      <c r="F231" s="24"/>
      <c r="H231" s="16"/>
    </row>
    <row r="232" spans="6:8" ht="12.75" x14ac:dyDescent="0.2">
      <c r="F232" s="24"/>
      <c r="H232" s="16"/>
    </row>
    <row r="233" spans="6:8" ht="12.75" x14ac:dyDescent="0.2">
      <c r="F233" s="24"/>
      <c r="H233" s="16"/>
    </row>
    <row r="234" spans="6:8" ht="12.75" x14ac:dyDescent="0.2">
      <c r="F234" s="24"/>
      <c r="H234" s="16"/>
    </row>
    <row r="235" spans="6:8" ht="12.75" x14ac:dyDescent="0.2">
      <c r="F235" s="24"/>
      <c r="H235" s="16"/>
    </row>
    <row r="236" spans="6:8" ht="12.75" x14ac:dyDescent="0.2">
      <c r="F236" s="24"/>
      <c r="H236" s="16"/>
    </row>
    <row r="237" spans="6:8" ht="12.75" x14ac:dyDescent="0.2">
      <c r="F237" s="24"/>
      <c r="H237" s="16"/>
    </row>
    <row r="238" spans="6:8" ht="12.75" x14ac:dyDescent="0.2">
      <c r="F238" s="24"/>
      <c r="H238" s="16"/>
    </row>
    <row r="239" spans="6:8" ht="12.75" x14ac:dyDescent="0.2">
      <c r="F239" s="24"/>
      <c r="H239" s="16"/>
    </row>
    <row r="240" spans="6:8" ht="12.75" x14ac:dyDescent="0.2">
      <c r="F240" s="24"/>
      <c r="H240" s="16"/>
    </row>
    <row r="241" spans="6:8" ht="12.75" x14ac:dyDescent="0.2">
      <c r="F241" s="24"/>
      <c r="H241" s="16"/>
    </row>
    <row r="242" spans="6:8" ht="12.75" x14ac:dyDescent="0.2">
      <c r="F242" s="24"/>
      <c r="H242" s="16"/>
    </row>
    <row r="243" spans="6:8" ht="12.75" x14ac:dyDescent="0.2">
      <c r="F243" s="24"/>
      <c r="H243" s="16"/>
    </row>
    <row r="244" spans="6:8" ht="12.75" x14ac:dyDescent="0.2">
      <c r="F244" s="24"/>
      <c r="H244" s="16"/>
    </row>
    <row r="245" spans="6:8" ht="12.75" x14ac:dyDescent="0.2">
      <c r="F245" s="24"/>
      <c r="H245" s="16"/>
    </row>
    <row r="246" spans="6:8" ht="12.75" x14ac:dyDescent="0.2">
      <c r="F246" s="24"/>
      <c r="H246" s="16"/>
    </row>
    <row r="247" spans="6:8" ht="12.75" x14ac:dyDescent="0.2">
      <c r="F247" s="24"/>
      <c r="H247" s="16"/>
    </row>
    <row r="248" spans="6:8" ht="12.75" x14ac:dyDescent="0.2">
      <c r="F248" s="24"/>
      <c r="H248" s="16"/>
    </row>
    <row r="249" spans="6:8" ht="12.75" x14ac:dyDescent="0.2">
      <c r="F249" s="24"/>
      <c r="H249" s="16"/>
    </row>
    <row r="250" spans="6:8" ht="12.75" x14ac:dyDescent="0.2">
      <c r="F250" s="24"/>
      <c r="H250" s="16"/>
    </row>
    <row r="251" spans="6:8" ht="12.75" x14ac:dyDescent="0.2">
      <c r="F251" s="24"/>
      <c r="H251" s="16"/>
    </row>
    <row r="252" spans="6:8" ht="12.75" x14ac:dyDescent="0.2">
      <c r="F252" s="24"/>
      <c r="H252" s="16"/>
    </row>
    <row r="253" spans="6:8" ht="12.75" x14ac:dyDescent="0.2">
      <c r="F253" s="24"/>
      <c r="H253" s="16"/>
    </row>
    <row r="254" spans="6:8" ht="12.75" x14ac:dyDescent="0.2">
      <c r="F254" s="24"/>
      <c r="H254" s="16"/>
    </row>
    <row r="255" spans="6:8" ht="12.75" x14ac:dyDescent="0.2">
      <c r="F255" s="24"/>
      <c r="H255" s="16"/>
    </row>
    <row r="256" spans="6:8" ht="12.75" x14ac:dyDescent="0.2">
      <c r="F256" s="24"/>
      <c r="H256" s="16"/>
    </row>
    <row r="257" spans="6:8" ht="12.75" x14ac:dyDescent="0.2">
      <c r="F257" s="24"/>
      <c r="H257" s="16"/>
    </row>
    <row r="258" spans="6:8" ht="12.75" x14ac:dyDescent="0.2">
      <c r="F258" s="24"/>
      <c r="H258" s="16"/>
    </row>
    <row r="259" spans="6:8" ht="12.75" x14ac:dyDescent="0.2">
      <c r="F259" s="24"/>
      <c r="H259" s="16"/>
    </row>
    <row r="260" spans="6:8" ht="12.75" x14ac:dyDescent="0.2">
      <c r="F260" s="24"/>
      <c r="H260" s="16"/>
    </row>
    <row r="261" spans="6:8" ht="12.75" x14ac:dyDescent="0.2">
      <c r="F261" s="24"/>
      <c r="H261" s="16"/>
    </row>
    <row r="262" spans="6:8" ht="12.75" x14ac:dyDescent="0.2">
      <c r="F262" s="24"/>
      <c r="H262" s="16"/>
    </row>
    <row r="263" spans="6:8" ht="12.75" x14ac:dyDescent="0.2">
      <c r="F263" s="24"/>
      <c r="H263" s="16"/>
    </row>
    <row r="264" spans="6:8" ht="12.75" x14ac:dyDescent="0.2">
      <c r="F264" s="24"/>
      <c r="H264" s="16"/>
    </row>
    <row r="265" spans="6:8" ht="12.75" x14ac:dyDescent="0.2">
      <c r="F265" s="24"/>
      <c r="H265" s="16"/>
    </row>
    <row r="266" spans="6:8" ht="12.75" x14ac:dyDescent="0.2">
      <c r="F266" s="24"/>
      <c r="H266" s="16"/>
    </row>
    <row r="267" spans="6:8" ht="12.75" x14ac:dyDescent="0.2">
      <c r="F267" s="24"/>
      <c r="H267" s="16"/>
    </row>
    <row r="268" spans="6:8" ht="12.75" x14ac:dyDescent="0.2">
      <c r="F268" s="24"/>
      <c r="H268" s="16"/>
    </row>
    <row r="269" spans="6:8" ht="12.75" x14ac:dyDescent="0.2">
      <c r="F269" s="24"/>
      <c r="H269" s="16"/>
    </row>
    <row r="270" spans="6:8" ht="12.75" x14ac:dyDescent="0.2">
      <c r="F270" s="24"/>
      <c r="H270" s="16"/>
    </row>
    <row r="271" spans="6:8" ht="12.75" x14ac:dyDescent="0.2">
      <c r="F271" s="24"/>
      <c r="H271" s="16"/>
    </row>
    <row r="272" spans="6:8" ht="12.75" x14ac:dyDescent="0.2">
      <c r="F272" s="24"/>
      <c r="H272" s="16"/>
    </row>
    <row r="273" spans="6:8" ht="12.75" x14ac:dyDescent="0.2">
      <c r="F273" s="24"/>
      <c r="H273" s="16"/>
    </row>
    <row r="274" spans="6:8" ht="12.75" x14ac:dyDescent="0.2">
      <c r="F274" s="24"/>
      <c r="H274" s="16"/>
    </row>
    <row r="275" spans="6:8" ht="12.75" x14ac:dyDescent="0.2">
      <c r="F275" s="24"/>
      <c r="H275" s="16"/>
    </row>
    <row r="276" spans="6:8" ht="12.75" x14ac:dyDescent="0.2">
      <c r="F276" s="24"/>
      <c r="H276" s="16"/>
    </row>
    <row r="277" spans="6:8" ht="12.75" x14ac:dyDescent="0.2">
      <c r="F277" s="24"/>
      <c r="H277" s="16"/>
    </row>
    <row r="278" spans="6:8" ht="12.75" x14ac:dyDescent="0.2">
      <c r="F278" s="24"/>
      <c r="H278" s="16"/>
    </row>
    <row r="279" spans="6:8" ht="12.75" x14ac:dyDescent="0.2">
      <c r="F279" s="24"/>
      <c r="H279" s="16"/>
    </row>
    <row r="280" spans="6:8" ht="12.75" x14ac:dyDescent="0.2">
      <c r="F280" s="24"/>
      <c r="H280" s="16"/>
    </row>
    <row r="281" spans="6:8" ht="12.75" x14ac:dyDescent="0.2">
      <c r="F281" s="24"/>
      <c r="H281" s="16"/>
    </row>
    <row r="282" spans="6:8" ht="12.75" x14ac:dyDescent="0.2">
      <c r="F282" s="24"/>
      <c r="H282" s="16"/>
    </row>
    <row r="283" spans="6:8" ht="12.75" x14ac:dyDescent="0.2">
      <c r="F283" s="24"/>
      <c r="H283" s="16"/>
    </row>
    <row r="284" spans="6:8" ht="12.75" x14ac:dyDescent="0.2">
      <c r="F284" s="24"/>
      <c r="H284" s="16"/>
    </row>
    <row r="285" spans="6:8" ht="12.75" x14ac:dyDescent="0.2">
      <c r="F285" s="24"/>
      <c r="H285" s="16"/>
    </row>
    <row r="286" spans="6:8" ht="12.75" x14ac:dyDescent="0.2">
      <c r="F286" s="24"/>
      <c r="H286" s="16"/>
    </row>
    <row r="287" spans="6:8" ht="12.75" x14ac:dyDescent="0.2">
      <c r="F287" s="24"/>
      <c r="H287" s="16"/>
    </row>
    <row r="288" spans="6:8" ht="12.75" x14ac:dyDescent="0.2">
      <c r="F288" s="24"/>
      <c r="H288" s="16"/>
    </row>
    <row r="289" spans="6:8" ht="12.75" x14ac:dyDescent="0.2">
      <c r="F289" s="24"/>
      <c r="H289" s="16"/>
    </row>
    <row r="290" spans="6:8" ht="12.75" x14ac:dyDescent="0.2">
      <c r="F290" s="24"/>
      <c r="H290" s="16"/>
    </row>
    <row r="291" spans="6:8" ht="12.75" x14ac:dyDescent="0.2">
      <c r="F291" s="24"/>
      <c r="H291" s="16"/>
    </row>
    <row r="292" spans="6:8" ht="12.75" x14ac:dyDescent="0.2">
      <c r="F292" s="24"/>
      <c r="H292" s="16"/>
    </row>
    <row r="293" spans="6:8" ht="12.75" x14ac:dyDescent="0.2">
      <c r="F293" s="24"/>
      <c r="H293" s="16"/>
    </row>
    <row r="294" spans="6:8" ht="12.75" x14ac:dyDescent="0.2">
      <c r="F294" s="24"/>
      <c r="H294" s="16"/>
    </row>
    <row r="295" spans="6:8" ht="12.75" x14ac:dyDescent="0.2">
      <c r="F295" s="24"/>
      <c r="H295" s="16"/>
    </row>
    <row r="296" spans="6:8" ht="12.75" x14ac:dyDescent="0.2">
      <c r="F296" s="24"/>
      <c r="H296" s="16"/>
    </row>
    <row r="297" spans="6:8" ht="12.75" x14ac:dyDescent="0.2">
      <c r="F297" s="24"/>
      <c r="H297" s="16"/>
    </row>
    <row r="298" spans="6:8" ht="12.75" x14ac:dyDescent="0.2">
      <c r="F298" s="24"/>
      <c r="H298" s="16"/>
    </row>
    <row r="299" spans="6:8" ht="12.75" x14ac:dyDescent="0.2">
      <c r="F299" s="24"/>
      <c r="H299" s="16"/>
    </row>
    <row r="300" spans="6:8" ht="12.75" x14ac:dyDescent="0.2">
      <c r="F300" s="24"/>
      <c r="H300" s="16"/>
    </row>
    <row r="301" spans="6:8" ht="12.75" x14ac:dyDescent="0.2">
      <c r="F301" s="24"/>
      <c r="H301" s="16"/>
    </row>
    <row r="302" spans="6:8" ht="12.75" x14ac:dyDescent="0.2">
      <c r="F302" s="24"/>
      <c r="H302" s="16"/>
    </row>
    <row r="303" spans="6:8" ht="12.75" x14ac:dyDescent="0.2">
      <c r="F303" s="24"/>
      <c r="H303" s="16"/>
    </row>
    <row r="304" spans="6:8" ht="12.75" x14ac:dyDescent="0.2">
      <c r="F304" s="24"/>
      <c r="H304" s="16"/>
    </row>
    <row r="305" spans="6:8" ht="12.75" x14ac:dyDescent="0.2">
      <c r="F305" s="24"/>
      <c r="H305" s="16"/>
    </row>
    <row r="306" spans="6:8" ht="12.75" x14ac:dyDescent="0.2">
      <c r="F306" s="24"/>
      <c r="H306" s="16"/>
    </row>
    <row r="307" spans="6:8" ht="12.75" x14ac:dyDescent="0.2">
      <c r="F307" s="24"/>
      <c r="H307" s="16"/>
    </row>
    <row r="308" spans="6:8" ht="12.75" x14ac:dyDescent="0.2">
      <c r="F308" s="24"/>
      <c r="H308" s="16"/>
    </row>
    <row r="309" spans="6:8" ht="12.75" x14ac:dyDescent="0.2">
      <c r="F309" s="24"/>
      <c r="H309" s="16"/>
    </row>
    <row r="310" spans="6:8" ht="12.75" x14ac:dyDescent="0.2">
      <c r="F310" s="24"/>
      <c r="H310" s="16"/>
    </row>
    <row r="311" spans="6:8" ht="12.75" x14ac:dyDescent="0.2">
      <c r="F311" s="24"/>
      <c r="H311" s="16"/>
    </row>
    <row r="312" spans="6:8" ht="12.75" x14ac:dyDescent="0.2">
      <c r="F312" s="24"/>
      <c r="H312" s="16"/>
    </row>
    <row r="313" spans="6:8" ht="12.75" x14ac:dyDescent="0.2">
      <c r="F313" s="24"/>
      <c r="H313" s="16"/>
    </row>
    <row r="314" spans="6:8" ht="12.75" x14ac:dyDescent="0.2">
      <c r="F314" s="24"/>
      <c r="H314" s="16"/>
    </row>
    <row r="315" spans="6:8" ht="12.75" x14ac:dyDescent="0.2">
      <c r="F315" s="24"/>
      <c r="H315" s="16"/>
    </row>
    <row r="316" spans="6:8" ht="12.75" x14ac:dyDescent="0.2">
      <c r="F316" s="24"/>
      <c r="H316" s="16"/>
    </row>
    <row r="317" spans="6:8" ht="12.75" x14ac:dyDescent="0.2">
      <c r="F317" s="24"/>
      <c r="H317" s="16"/>
    </row>
    <row r="318" spans="6:8" ht="12.75" x14ac:dyDescent="0.2">
      <c r="F318" s="24"/>
      <c r="H318" s="16"/>
    </row>
    <row r="319" spans="6:8" ht="12.75" x14ac:dyDescent="0.2">
      <c r="F319" s="24"/>
      <c r="H319" s="16"/>
    </row>
    <row r="320" spans="6:8" ht="12.75" x14ac:dyDescent="0.2">
      <c r="F320" s="24"/>
      <c r="H320" s="16"/>
    </row>
    <row r="321" spans="6:8" ht="12.75" x14ac:dyDescent="0.2">
      <c r="F321" s="24"/>
      <c r="H321" s="16"/>
    </row>
    <row r="322" spans="6:8" ht="12.75" x14ac:dyDescent="0.2">
      <c r="F322" s="24"/>
      <c r="H322" s="16"/>
    </row>
    <row r="323" spans="6:8" ht="12.75" x14ac:dyDescent="0.2">
      <c r="F323" s="24"/>
      <c r="H323" s="16"/>
    </row>
    <row r="324" spans="6:8" ht="12.75" x14ac:dyDescent="0.2">
      <c r="F324" s="24"/>
      <c r="H324" s="16"/>
    </row>
    <row r="325" spans="6:8" ht="12.75" x14ac:dyDescent="0.2">
      <c r="F325" s="24"/>
      <c r="H325" s="16"/>
    </row>
    <row r="326" spans="6:8" ht="12.75" x14ac:dyDescent="0.2">
      <c r="F326" s="24"/>
      <c r="H326" s="16"/>
    </row>
    <row r="327" spans="6:8" ht="12.75" x14ac:dyDescent="0.2">
      <c r="F327" s="24"/>
      <c r="H327" s="16"/>
    </row>
    <row r="328" spans="6:8" ht="12.75" x14ac:dyDescent="0.2">
      <c r="F328" s="24"/>
      <c r="H328" s="16"/>
    </row>
    <row r="329" spans="6:8" ht="12.75" x14ac:dyDescent="0.2">
      <c r="F329" s="24"/>
      <c r="H329" s="16"/>
    </row>
    <row r="330" spans="6:8" ht="12.75" x14ac:dyDescent="0.2">
      <c r="F330" s="24"/>
      <c r="H330" s="16"/>
    </row>
    <row r="331" spans="6:8" ht="12.75" x14ac:dyDescent="0.2">
      <c r="F331" s="24"/>
      <c r="H331" s="16"/>
    </row>
    <row r="332" spans="6:8" ht="12.75" x14ac:dyDescent="0.2">
      <c r="F332" s="24"/>
      <c r="H332" s="16"/>
    </row>
    <row r="333" spans="6:8" ht="12.75" x14ac:dyDescent="0.2">
      <c r="F333" s="24"/>
      <c r="H333" s="16"/>
    </row>
    <row r="334" spans="6:8" ht="12.75" x14ac:dyDescent="0.2">
      <c r="F334" s="24"/>
      <c r="H334" s="16"/>
    </row>
    <row r="335" spans="6:8" ht="12.75" x14ac:dyDescent="0.2">
      <c r="F335" s="24"/>
      <c r="H335" s="16"/>
    </row>
    <row r="336" spans="6:8" ht="12.75" x14ac:dyDescent="0.2">
      <c r="F336" s="24"/>
      <c r="H336" s="16"/>
    </row>
    <row r="337" spans="6:8" ht="12.75" x14ac:dyDescent="0.2">
      <c r="F337" s="24"/>
      <c r="H337" s="16"/>
    </row>
    <row r="338" spans="6:8" ht="12.75" x14ac:dyDescent="0.2">
      <c r="F338" s="24"/>
      <c r="H338" s="16"/>
    </row>
    <row r="339" spans="6:8" ht="12.75" x14ac:dyDescent="0.2">
      <c r="F339" s="24"/>
      <c r="H339" s="16"/>
    </row>
    <row r="340" spans="6:8" ht="12.75" x14ac:dyDescent="0.2">
      <c r="F340" s="24"/>
      <c r="H340" s="16"/>
    </row>
    <row r="341" spans="6:8" ht="12.75" x14ac:dyDescent="0.2">
      <c r="F341" s="24"/>
      <c r="H341" s="16"/>
    </row>
    <row r="342" spans="6:8" ht="12.75" x14ac:dyDescent="0.2">
      <c r="F342" s="24"/>
      <c r="H342" s="16"/>
    </row>
    <row r="343" spans="6:8" ht="12.75" x14ac:dyDescent="0.2">
      <c r="F343" s="24"/>
      <c r="H343" s="16"/>
    </row>
    <row r="344" spans="6:8" ht="12.75" x14ac:dyDescent="0.2">
      <c r="F344" s="24"/>
      <c r="H344" s="16"/>
    </row>
    <row r="345" spans="6:8" ht="12.75" x14ac:dyDescent="0.2">
      <c r="F345" s="24"/>
      <c r="H345" s="16"/>
    </row>
    <row r="346" spans="6:8" ht="12.75" x14ac:dyDescent="0.2">
      <c r="F346" s="24"/>
      <c r="H346" s="16"/>
    </row>
    <row r="347" spans="6:8" ht="12.75" x14ac:dyDescent="0.2">
      <c r="F347" s="24"/>
      <c r="H347" s="16"/>
    </row>
    <row r="348" spans="6:8" ht="12.75" x14ac:dyDescent="0.2">
      <c r="F348" s="24"/>
      <c r="H348" s="16"/>
    </row>
    <row r="349" spans="6:8" ht="12.75" x14ac:dyDescent="0.2">
      <c r="F349" s="24"/>
      <c r="H349" s="16"/>
    </row>
    <row r="350" spans="6:8" ht="12.75" x14ac:dyDescent="0.2">
      <c r="F350" s="24"/>
      <c r="H350" s="16"/>
    </row>
    <row r="351" spans="6:8" ht="12.75" x14ac:dyDescent="0.2">
      <c r="F351" s="24"/>
      <c r="H351" s="16"/>
    </row>
    <row r="352" spans="6:8" ht="12.75" x14ac:dyDescent="0.2">
      <c r="F352" s="24"/>
      <c r="H352" s="16"/>
    </row>
    <row r="353" spans="6:8" ht="12.75" x14ac:dyDescent="0.2">
      <c r="F353" s="24"/>
      <c r="H353" s="16"/>
    </row>
    <row r="354" spans="6:8" ht="12.75" x14ac:dyDescent="0.2">
      <c r="F354" s="24"/>
      <c r="H354" s="16"/>
    </row>
    <row r="355" spans="6:8" ht="12.75" x14ac:dyDescent="0.2">
      <c r="F355" s="24"/>
      <c r="H355" s="16"/>
    </row>
    <row r="356" spans="6:8" ht="12.75" x14ac:dyDescent="0.2">
      <c r="F356" s="24"/>
      <c r="H356" s="16"/>
    </row>
    <row r="357" spans="6:8" ht="12.75" x14ac:dyDescent="0.2">
      <c r="F357" s="24"/>
      <c r="H357" s="16"/>
    </row>
    <row r="358" spans="6:8" ht="12.75" x14ac:dyDescent="0.2">
      <c r="F358" s="24"/>
      <c r="H358" s="16"/>
    </row>
    <row r="359" spans="6:8" ht="12.75" x14ac:dyDescent="0.2">
      <c r="F359" s="24"/>
      <c r="H359" s="16"/>
    </row>
    <row r="360" spans="6:8" ht="12.75" x14ac:dyDescent="0.2">
      <c r="F360" s="24"/>
      <c r="H360" s="16"/>
    </row>
    <row r="361" spans="6:8" ht="12.75" x14ac:dyDescent="0.2">
      <c r="F361" s="24"/>
      <c r="H361" s="16"/>
    </row>
    <row r="362" spans="6:8" ht="12.75" x14ac:dyDescent="0.2">
      <c r="F362" s="24"/>
      <c r="H362" s="16"/>
    </row>
    <row r="363" spans="6:8" ht="12.75" x14ac:dyDescent="0.2">
      <c r="F363" s="24"/>
      <c r="H363" s="16"/>
    </row>
    <row r="364" spans="6:8" ht="12.75" x14ac:dyDescent="0.2">
      <c r="F364" s="24"/>
      <c r="H364" s="16"/>
    </row>
    <row r="365" spans="6:8" ht="12.75" x14ac:dyDescent="0.2">
      <c r="F365" s="24"/>
      <c r="H365" s="16"/>
    </row>
    <row r="366" spans="6:8" ht="12.75" x14ac:dyDescent="0.2">
      <c r="F366" s="24"/>
      <c r="H366" s="16"/>
    </row>
    <row r="367" spans="6:8" ht="12.75" x14ac:dyDescent="0.2">
      <c r="F367" s="24"/>
      <c r="H367" s="16"/>
    </row>
    <row r="368" spans="6:8" ht="12.75" x14ac:dyDescent="0.2">
      <c r="F368" s="24"/>
      <c r="H368" s="16"/>
    </row>
    <row r="369" spans="6:8" ht="12.75" x14ac:dyDescent="0.2">
      <c r="F369" s="24"/>
      <c r="H369" s="16"/>
    </row>
    <row r="370" spans="6:8" ht="12.75" x14ac:dyDescent="0.2">
      <c r="F370" s="24"/>
      <c r="H370" s="16"/>
    </row>
    <row r="371" spans="6:8" ht="12.75" x14ac:dyDescent="0.2">
      <c r="F371" s="24"/>
      <c r="H371" s="16"/>
    </row>
    <row r="372" spans="6:8" ht="12.75" x14ac:dyDescent="0.2">
      <c r="F372" s="24"/>
      <c r="H372" s="16"/>
    </row>
    <row r="373" spans="6:8" ht="12.75" x14ac:dyDescent="0.2">
      <c r="F373" s="24"/>
      <c r="H373" s="16"/>
    </row>
    <row r="374" spans="6:8" ht="12.75" x14ac:dyDescent="0.2">
      <c r="F374" s="24"/>
      <c r="H374" s="16"/>
    </row>
    <row r="375" spans="6:8" ht="12.75" x14ac:dyDescent="0.2">
      <c r="F375" s="24"/>
      <c r="H375" s="16"/>
    </row>
    <row r="376" spans="6:8" ht="12.75" x14ac:dyDescent="0.2">
      <c r="F376" s="24"/>
      <c r="H376" s="16"/>
    </row>
    <row r="377" spans="6:8" ht="12.75" x14ac:dyDescent="0.2">
      <c r="F377" s="24"/>
      <c r="H377" s="16"/>
    </row>
    <row r="378" spans="6:8" ht="12.75" x14ac:dyDescent="0.2">
      <c r="F378" s="24"/>
      <c r="H378" s="16"/>
    </row>
    <row r="379" spans="6:8" ht="12.75" x14ac:dyDescent="0.2">
      <c r="F379" s="24"/>
      <c r="H379" s="16"/>
    </row>
    <row r="380" spans="6:8" ht="12.75" x14ac:dyDescent="0.2">
      <c r="F380" s="24"/>
      <c r="H380" s="16"/>
    </row>
    <row r="381" spans="6:8" ht="12.75" x14ac:dyDescent="0.2">
      <c r="F381" s="24"/>
      <c r="H381" s="16"/>
    </row>
    <row r="382" spans="6:8" ht="12.75" x14ac:dyDescent="0.2">
      <c r="F382" s="24"/>
      <c r="H382" s="16"/>
    </row>
    <row r="383" spans="6:8" ht="12.75" x14ac:dyDescent="0.2">
      <c r="F383" s="24"/>
      <c r="H383" s="16"/>
    </row>
    <row r="384" spans="6:8" ht="12.75" x14ac:dyDescent="0.2">
      <c r="F384" s="24"/>
      <c r="H384" s="16"/>
    </row>
    <row r="385" spans="6:8" ht="12.75" x14ac:dyDescent="0.2">
      <c r="F385" s="24"/>
      <c r="H385" s="16"/>
    </row>
    <row r="386" spans="6:8" ht="12.75" x14ac:dyDescent="0.2">
      <c r="F386" s="24"/>
      <c r="H386" s="16"/>
    </row>
    <row r="387" spans="6:8" ht="12.75" x14ac:dyDescent="0.2">
      <c r="F387" s="24"/>
      <c r="H387" s="16"/>
    </row>
    <row r="388" spans="6:8" ht="12.75" x14ac:dyDescent="0.2">
      <c r="F388" s="24"/>
      <c r="H388" s="16"/>
    </row>
    <row r="389" spans="6:8" ht="12.75" x14ac:dyDescent="0.2">
      <c r="F389" s="24"/>
      <c r="H389" s="16"/>
    </row>
    <row r="390" spans="6:8" ht="12.75" x14ac:dyDescent="0.2">
      <c r="F390" s="24"/>
      <c r="H390" s="16"/>
    </row>
    <row r="391" spans="6:8" ht="12.75" x14ac:dyDescent="0.2">
      <c r="F391" s="24"/>
      <c r="H391" s="16"/>
    </row>
    <row r="392" spans="6:8" ht="12.75" x14ac:dyDescent="0.2">
      <c r="F392" s="24"/>
      <c r="H392" s="16"/>
    </row>
    <row r="393" spans="6:8" ht="12.75" x14ac:dyDescent="0.2">
      <c r="F393" s="24"/>
      <c r="H393" s="16"/>
    </row>
    <row r="394" spans="6:8" ht="12.75" x14ac:dyDescent="0.2">
      <c r="F394" s="24"/>
      <c r="H394" s="16"/>
    </row>
    <row r="395" spans="6:8" ht="12.75" x14ac:dyDescent="0.2">
      <c r="F395" s="24"/>
      <c r="H395" s="16"/>
    </row>
    <row r="396" spans="6:8" ht="12.75" x14ac:dyDescent="0.2">
      <c r="F396" s="24"/>
      <c r="H396" s="16"/>
    </row>
    <row r="397" spans="6:8" ht="12.75" x14ac:dyDescent="0.2">
      <c r="F397" s="24"/>
      <c r="H397" s="16"/>
    </row>
    <row r="398" spans="6:8" ht="12.75" x14ac:dyDescent="0.2">
      <c r="F398" s="24"/>
      <c r="H398" s="16"/>
    </row>
    <row r="399" spans="6:8" ht="12.75" x14ac:dyDescent="0.2">
      <c r="F399" s="24"/>
      <c r="H399" s="16"/>
    </row>
    <row r="400" spans="6:8" ht="12.75" x14ac:dyDescent="0.2">
      <c r="F400" s="24"/>
      <c r="H400" s="16"/>
    </row>
    <row r="401" spans="6:8" ht="12.75" x14ac:dyDescent="0.2">
      <c r="F401" s="24"/>
      <c r="H401" s="16"/>
    </row>
    <row r="402" spans="6:8" ht="12.75" x14ac:dyDescent="0.2">
      <c r="F402" s="24"/>
      <c r="H402" s="16"/>
    </row>
    <row r="403" spans="6:8" ht="12.75" x14ac:dyDescent="0.2">
      <c r="F403" s="24"/>
      <c r="H403" s="16"/>
    </row>
    <row r="404" spans="6:8" ht="12.75" x14ac:dyDescent="0.2">
      <c r="F404" s="24"/>
      <c r="H404" s="16"/>
    </row>
    <row r="405" spans="6:8" ht="12.75" x14ac:dyDescent="0.2">
      <c r="F405" s="24"/>
      <c r="H405" s="16"/>
    </row>
    <row r="406" spans="6:8" ht="12.75" x14ac:dyDescent="0.2">
      <c r="F406" s="24"/>
      <c r="H406" s="16"/>
    </row>
    <row r="407" spans="6:8" ht="12.75" x14ac:dyDescent="0.2">
      <c r="F407" s="24"/>
      <c r="H407" s="16"/>
    </row>
    <row r="408" spans="6:8" ht="12.75" x14ac:dyDescent="0.2">
      <c r="F408" s="24"/>
      <c r="H408" s="16"/>
    </row>
    <row r="409" spans="6:8" ht="12.75" x14ac:dyDescent="0.2">
      <c r="F409" s="24"/>
      <c r="H409" s="16"/>
    </row>
    <row r="410" spans="6:8" ht="12.75" x14ac:dyDescent="0.2">
      <c r="F410" s="24"/>
      <c r="H410" s="16"/>
    </row>
    <row r="411" spans="6:8" ht="12.75" x14ac:dyDescent="0.2">
      <c r="F411" s="24"/>
      <c r="H411" s="16"/>
    </row>
    <row r="412" spans="6:8" ht="12.75" x14ac:dyDescent="0.2">
      <c r="F412" s="24"/>
      <c r="H412" s="16"/>
    </row>
    <row r="413" spans="6:8" ht="12.75" x14ac:dyDescent="0.2">
      <c r="F413" s="24"/>
      <c r="H413" s="16"/>
    </row>
    <row r="414" spans="6:8" ht="12.75" x14ac:dyDescent="0.2">
      <c r="F414" s="24"/>
      <c r="H414" s="16"/>
    </row>
    <row r="415" spans="6:8" ht="12.75" x14ac:dyDescent="0.2">
      <c r="F415" s="24"/>
      <c r="H415" s="16"/>
    </row>
    <row r="416" spans="6:8" ht="12.75" x14ac:dyDescent="0.2">
      <c r="F416" s="24"/>
      <c r="H416" s="16"/>
    </row>
    <row r="417" spans="6:8" ht="12.75" x14ac:dyDescent="0.2">
      <c r="F417" s="24"/>
      <c r="H417" s="16"/>
    </row>
    <row r="418" spans="6:8" ht="12.75" x14ac:dyDescent="0.2">
      <c r="F418" s="24"/>
      <c r="H418" s="16"/>
    </row>
    <row r="419" spans="6:8" ht="12.75" x14ac:dyDescent="0.2">
      <c r="F419" s="24"/>
      <c r="H419" s="16"/>
    </row>
    <row r="420" spans="6:8" ht="12.75" x14ac:dyDescent="0.2">
      <c r="F420" s="24"/>
      <c r="H420" s="16"/>
    </row>
    <row r="421" spans="6:8" ht="12.75" x14ac:dyDescent="0.2">
      <c r="F421" s="24"/>
      <c r="H421" s="16"/>
    </row>
    <row r="422" spans="6:8" ht="12.75" x14ac:dyDescent="0.2">
      <c r="F422" s="24"/>
      <c r="H422" s="16"/>
    </row>
    <row r="423" spans="6:8" ht="12.75" x14ac:dyDescent="0.2">
      <c r="F423" s="24"/>
      <c r="H423" s="16"/>
    </row>
    <row r="424" spans="6:8" ht="12.75" x14ac:dyDescent="0.2">
      <c r="F424" s="24"/>
      <c r="H424" s="16"/>
    </row>
    <row r="425" spans="6:8" ht="12.75" x14ac:dyDescent="0.2">
      <c r="F425" s="24"/>
      <c r="H425" s="16"/>
    </row>
    <row r="426" spans="6:8" ht="12.75" x14ac:dyDescent="0.2">
      <c r="F426" s="24"/>
      <c r="H426" s="16"/>
    </row>
    <row r="427" spans="6:8" ht="12.75" x14ac:dyDescent="0.2">
      <c r="F427" s="24"/>
      <c r="H427" s="16"/>
    </row>
    <row r="428" spans="6:8" ht="12.75" x14ac:dyDescent="0.2">
      <c r="F428" s="24"/>
      <c r="H428" s="16"/>
    </row>
    <row r="429" spans="6:8" ht="12.75" x14ac:dyDescent="0.2">
      <c r="F429" s="24"/>
      <c r="H429" s="16"/>
    </row>
    <row r="430" spans="6:8" ht="12.75" x14ac:dyDescent="0.2">
      <c r="F430" s="24"/>
      <c r="H430" s="16"/>
    </row>
    <row r="431" spans="6:8" ht="12.75" x14ac:dyDescent="0.2">
      <c r="F431" s="24"/>
      <c r="H431" s="16"/>
    </row>
    <row r="432" spans="6:8" ht="12.75" x14ac:dyDescent="0.2">
      <c r="F432" s="24"/>
      <c r="H432" s="16"/>
    </row>
    <row r="433" spans="6:8" ht="12.75" x14ac:dyDescent="0.2">
      <c r="F433" s="24"/>
      <c r="H433" s="16"/>
    </row>
    <row r="434" spans="6:8" ht="12.75" x14ac:dyDescent="0.2">
      <c r="F434" s="24"/>
      <c r="H434" s="16"/>
    </row>
    <row r="435" spans="6:8" ht="12.75" x14ac:dyDescent="0.2">
      <c r="F435" s="24"/>
      <c r="H435" s="16"/>
    </row>
    <row r="436" spans="6:8" ht="12.75" x14ac:dyDescent="0.2">
      <c r="F436" s="24"/>
      <c r="H436" s="16"/>
    </row>
    <row r="437" spans="6:8" ht="12.75" x14ac:dyDescent="0.2">
      <c r="F437" s="24"/>
      <c r="H437" s="16"/>
    </row>
    <row r="438" spans="6:8" ht="12.75" x14ac:dyDescent="0.2">
      <c r="F438" s="24"/>
      <c r="H438" s="16"/>
    </row>
    <row r="439" spans="6:8" ht="12.75" x14ac:dyDescent="0.2">
      <c r="F439" s="24"/>
      <c r="H439" s="16"/>
    </row>
    <row r="440" spans="6:8" ht="12.75" x14ac:dyDescent="0.2">
      <c r="F440" s="24"/>
      <c r="H440" s="16"/>
    </row>
    <row r="441" spans="6:8" ht="12.75" x14ac:dyDescent="0.2">
      <c r="F441" s="24"/>
      <c r="H441" s="16"/>
    </row>
    <row r="442" spans="6:8" ht="12.75" x14ac:dyDescent="0.2">
      <c r="F442" s="24"/>
      <c r="H442" s="16"/>
    </row>
    <row r="443" spans="6:8" ht="12.75" x14ac:dyDescent="0.2">
      <c r="F443" s="24"/>
      <c r="H443" s="16"/>
    </row>
    <row r="444" spans="6:8" ht="12.75" x14ac:dyDescent="0.2">
      <c r="F444" s="24"/>
      <c r="H444" s="16"/>
    </row>
    <row r="445" spans="6:8" ht="12.75" x14ac:dyDescent="0.2">
      <c r="F445" s="24"/>
      <c r="H445" s="16"/>
    </row>
    <row r="446" spans="6:8" ht="12.75" x14ac:dyDescent="0.2">
      <c r="F446" s="24"/>
      <c r="H446" s="16"/>
    </row>
    <row r="447" spans="6:8" ht="12.75" x14ac:dyDescent="0.2">
      <c r="F447" s="24"/>
      <c r="H447" s="16"/>
    </row>
    <row r="448" spans="6:8" ht="12.75" x14ac:dyDescent="0.2">
      <c r="F448" s="24"/>
      <c r="H448" s="16"/>
    </row>
    <row r="449" spans="6:8" ht="12.75" x14ac:dyDescent="0.2">
      <c r="F449" s="24"/>
      <c r="H449" s="16"/>
    </row>
    <row r="450" spans="6:8" ht="12.75" x14ac:dyDescent="0.2">
      <c r="F450" s="24"/>
      <c r="H450" s="16"/>
    </row>
    <row r="451" spans="6:8" ht="12.75" x14ac:dyDescent="0.2">
      <c r="F451" s="24"/>
      <c r="H451" s="16"/>
    </row>
    <row r="452" spans="6:8" ht="12.75" x14ac:dyDescent="0.2">
      <c r="F452" s="24"/>
      <c r="H452" s="16"/>
    </row>
    <row r="453" spans="6:8" ht="12.75" x14ac:dyDescent="0.2">
      <c r="F453" s="24"/>
      <c r="H453" s="16"/>
    </row>
    <row r="454" spans="6:8" ht="12.75" x14ac:dyDescent="0.2">
      <c r="F454" s="24"/>
      <c r="H454" s="16"/>
    </row>
    <row r="455" spans="6:8" ht="12.75" x14ac:dyDescent="0.2">
      <c r="F455" s="24"/>
      <c r="H455" s="16"/>
    </row>
    <row r="456" spans="6:8" ht="12.75" x14ac:dyDescent="0.2">
      <c r="F456" s="24"/>
      <c r="H456" s="16"/>
    </row>
    <row r="457" spans="6:8" ht="12.75" x14ac:dyDescent="0.2">
      <c r="F457" s="24"/>
      <c r="H457" s="16"/>
    </row>
    <row r="458" spans="6:8" ht="12.75" x14ac:dyDescent="0.2">
      <c r="F458" s="24"/>
      <c r="H458" s="16"/>
    </row>
    <row r="459" spans="6:8" ht="12.75" x14ac:dyDescent="0.2">
      <c r="F459" s="24"/>
      <c r="H459" s="16"/>
    </row>
    <row r="460" spans="6:8" ht="12.75" x14ac:dyDescent="0.2">
      <c r="F460" s="24"/>
      <c r="H460" s="16"/>
    </row>
    <row r="461" spans="6:8" ht="12.75" x14ac:dyDescent="0.2">
      <c r="F461" s="24"/>
      <c r="H461" s="16"/>
    </row>
    <row r="462" spans="6:8" ht="12.75" x14ac:dyDescent="0.2">
      <c r="F462" s="24"/>
      <c r="H462" s="16"/>
    </row>
    <row r="463" spans="6:8" ht="12.75" x14ac:dyDescent="0.2">
      <c r="F463" s="24"/>
      <c r="H463" s="16"/>
    </row>
    <row r="464" spans="6:8" ht="12.75" x14ac:dyDescent="0.2">
      <c r="F464" s="24"/>
      <c r="H464" s="16"/>
    </row>
    <row r="465" spans="6:8" ht="12.75" x14ac:dyDescent="0.2">
      <c r="F465" s="24"/>
      <c r="H465" s="16"/>
    </row>
    <row r="466" spans="6:8" ht="12.75" x14ac:dyDescent="0.2">
      <c r="F466" s="24"/>
      <c r="H466" s="16"/>
    </row>
    <row r="467" spans="6:8" ht="12.75" x14ac:dyDescent="0.2">
      <c r="F467" s="24"/>
      <c r="H467" s="16"/>
    </row>
    <row r="468" spans="6:8" ht="12.75" x14ac:dyDescent="0.2">
      <c r="F468" s="24"/>
      <c r="H468" s="16"/>
    </row>
    <row r="469" spans="6:8" ht="12.75" x14ac:dyDescent="0.2">
      <c r="F469" s="24"/>
      <c r="H469" s="16"/>
    </row>
    <row r="470" spans="6:8" ht="12.75" x14ac:dyDescent="0.2">
      <c r="F470" s="24"/>
      <c r="H470" s="16"/>
    </row>
    <row r="471" spans="6:8" ht="12.75" x14ac:dyDescent="0.2">
      <c r="F471" s="24"/>
      <c r="H471" s="16"/>
    </row>
    <row r="472" spans="6:8" ht="12.75" x14ac:dyDescent="0.2">
      <c r="F472" s="24"/>
      <c r="H472" s="16"/>
    </row>
    <row r="473" spans="6:8" ht="12.75" x14ac:dyDescent="0.2">
      <c r="F473" s="24"/>
      <c r="H473" s="16"/>
    </row>
    <row r="474" spans="6:8" ht="12.75" x14ac:dyDescent="0.2">
      <c r="F474" s="24"/>
      <c r="H474" s="16"/>
    </row>
    <row r="475" spans="6:8" ht="12.75" x14ac:dyDescent="0.2">
      <c r="F475" s="24"/>
      <c r="H475" s="16"/>
    </row>
    <row r="476" spans="6:8" ht="12.75" x14ac:dyDescent="0.2">
      <c r="F476" s="24"/>
      <c r="H476" s="16"/>
    </row>
    <row r="477" spans="6:8" ht="12.75" x14ac:dyDescent="0.2">
      <c r="F477" s="24"/>
      <c r="H477" s="16"/>
    </row>
    <row r="478" spans="6:8" ht="12.75" x14ac:dyDescent="0.2">
      <c r="F478" s="24"/>
      <c r="H478" s="16"/>
    </row>
    <row r="479" spans="6:8" ht="12.75" x14ac:dyDescent="0.2">
      <c r="F479" s="24"/>
      <c r="H479" s="16"/>
    </row>
    <row r="480" spans="6:8" ht="12.75" x14ac:dyDescent="0.2">
      <c r="F480" s="24"/>
      <c r="H480" s="16"/>
    </row>
    <row r="481" spans="6:8" ht="12.75" x14ac:dyDescent="0.2">
      <c r="F481" s="24"/>
      <c r="H481" s="16"/>
    </row>
    <row r="482" spans="6:8" ht="12.75" x14ac:dyDescent="0.2">
      <c r="F482" s="24"/>
      <c r="H482" s="16"/>
    </row>
    <row r="483" spans="6:8" ht="12.75" x14ac:dyDescent="0.2">
      <c r="F483" s="24"/>
      <c r="H483" s="16"/>
    </row>
    <row r="484" spans="6:8" ht="12.75" x14ac:dyDescent="0.2">
      <c r="F484" s="24"/>
      <c r="H484" s="16"/>
    </row>
    <row r="485" spans="6:8" ht="12.75" x14ac:dyDescent="0.2">
      <c r="F485" s="24"/>
      <c r="H485" s="16"/>
    </row>
    <row r="486" spans="6:8" ht="12.75" x14ac:dyDescent="0.2">
      <c r="F486" s="24"/>
      <c r="H486" s="16"/>
    </row>
    <row r="487" spans="6:8" ht="12.75" x14ac:dyDescent="0.2">
      <c r="F487" s="24"/>
      <c r="H487" s="16"/>
    </row>
    <row r="488" spans="6:8" ht="12.75" x14ac:dyDescent="0.2">
      <c r="F488" s="24"/>
      <c r="H488" s="16"/>
    </row>
    <row r="489" spans="6:8" ht="12.75" x14ac:dyDescent="0.2">
      <c r="F489" s="24"/>
      <c r="H489" s="16"/>
    </row>
    <row r="490" spans="6:8" ht="12.75" x14ac:dyDescent="0.2">
      <c r="F490" s="24"/>
      <c r="H490" s="16"/>
    </row>
    <row r="491" spans="6:8" ht="12.75" x14ac:dyDescent="0.2">
      <c r="F491" s="24"/>
      <c r="H491" s="16"/>
    </row>
    <row r="492" spans="6:8" ht="12.75" x14ac:dyDescent="0.2">
      <c r="F492" s="24"/>
      <c r="H492" s="16"/>
    </row>
    <row r="493" spans="6:8" ht="12.75" x14ac:dyDescent="0.2">
      <c r="F493" s="24"/>
      <c r="H493" s="16"/>
    </row>
    <row r="494" spans="6:8" ht="12.75" x14ac:dyDescent="0.2">
      <c r="F494" s="24"/>
      <c r="H494" s="16"/>
    </row>
    <row r="495" spans="6:8" ht="12.75" x14ac:dyDescent="0.2">
      <c r="F495" s="24"/>
      <c r="H495" s="16"/>
    </row>
    <row r="496" spans="6:8" ht="12.75" x14ac:dyDescent="0.2">
      <c r="F496" s="24"/>
      <c r="H496" s="16"/>
    </row>
    <row r="497" spans="6:8" ht="12.75" x14ac:dyDescent="0.2">
      <c r="F497" s="24"/>
      <c r="H497" s="16"/>
    </row>
    <row r="498" spans="6:8" ht="12.75" x14ac:dyDescent="0.2">
      <c r="F498" s="24"/>
      <c r="H498" s="16"/>
    </row>
    <row r="499" spans="6:8" ht="12.75" x14ac:dyDescent="0.2">
      <c r="F499" s="24"/>
      <c r="H499" s="16"/>
    </row>
    <row r="500" spans="6:8" ht="12.75" x14ac:dyDescent="0.2">
      <c r="F500" s="24"/>
      <c r="H500" s="16"/>
    </row>
    <row r="501" spans="6:8" ht="12.75" x14ac:dyDescent="0.2">
      <c r="F501" s="24"/>
      <c r="H501" s="16"/>
    </row>
    <row r="502" spans="6:8" ht="12.75" x14ac:dyDescent="0.2">
      <c r="F502" s="24"/>
      <c r="H502" s="16"/>
    </row>
    <row r="503" spans="6:8" ht="12.75" x14ac:dyDescent="0.2">
      <c r="F503" s="24"/>
      <c r="H503" s="16"/>
    </row>
    <row r="504" spans="6:8" ht="12.75" x14ac:dyDescent="0.2">
      <c r="F504" s="24"/>
      <c r="H504" s="16"/>
    </row>
    <row r="505" spans="6:8" ht="12.75" x14ac:dyDescent="0.2">
      <c r="F505" s="24"/>
      <c r="H505" s="16"/>
    </row>
    <row r="506" spans="6:8" ht="12.75" x14ac:dyDescent="0.2">
      <c r="F506" s="24"/>
      <c r="H506" s="16"/>
    </row>
    <row r="507" spans="6:8" ht="12.75" x14ac:dyDescent="0.2">
      <c r="F507" s="24"/>
      <c r="H507" s="16"/>
    </row>
    <row r="508" spans="6:8" ht="12.75" x14ac:dyDescent="0.2">
      <c r="F508" s="24"/>
      <c r="H508" s="16"/>
    </row>
    <row r="509" spans="6:8" ht="12.75" x14ac:dyDescent="0.2">
      <c r="F509" s="24"/>
      <c r="H509" s="16"/>
    </row>
    <row r="510" spans="6:8" ht="12.75" x14ac:dyDescent="0.2">
      <c r="F510" s="24"/>
      <c r="H510" s="16"/>
    </row>
    <row r="511" spans="6:8" ht="12.75" x14ac:dyDescent="0.2">
      <c r="F511" s="24"/>
      <c r="H511" s="16"/>
    </row>
    <row r="512" spans="6:8" ht="12.75" x14ac:dyDescent="0.2">
      <c r="F512" s="24"/>
      <c r="H512" s="16"/>
    </row>
    <row r="513" spans="6:8" ht="12.75" x14ac:dyDescent="0.2">
      <c r="F513" s="24"/>
      <c r="H513" s="16"/>
    </row>
    <row r="514" spans="6:8" ht="12.75" x14ac:dyDescent="0.2">
      <c r="F514" s="24"/>
      <c r="H514" s="16"/>
    </row>
    <row r="515" spans="6:8" ht="12.75" x14ac:dyDescent="0.2">
      <c r="F515" s="24"/>
      <c r="H515" s="16"/>
    </row>
    <row r="516" spans="6:8" ht="12.75" x14ac:dyDescent="0.2">
      <c r="F516" s="24"/>
      <c r="H516" s="16"/>
    </row>
    <row r="517" spans="6:8" ht="12.75" x14ac:dyDescent="0.2">
      <c r="F517" s="24"/>
      <c r="H517" s="16"/>
    </row>
    <row r="518" spans="6:8" ht="12.75" x14ac:dyDescent="0.2">
      <c r="F518" s="24"/>
      <c r="H518" s="16"/>
    </row>
    <row r="519" spans="6:8" ht="12.75" x14ac:dyDescent="0.2">
      <c r="F519" s="24"/>
      <c r="H519" s="16"/>
    </row>
    <row r="520" spans="6:8" ht="12.75" x14ac:dyDescent="0.2">
      <c r="F520" s="24"/>
      <c r="H520" s="16"/>
    </row>
    <row r="521" spans="6:8" ht="12.75" x14ac:dyDescent="0.2">
      <c r="F521" s="24"/>
      <c r="H521" s="16"/>
    </row>
    <row r="522" spans="6:8" ht="12.75" x14ac:dyDescent="0.2">
      <c r="F522" s="24"/>
      <c r="H522" s="16"/>
    </row>
    <row r="523" spans="6:8" ht="12.75" x14ac:dyDescent="0.2">
      <c r="F523" s="24"/>
      <c r="H523" s="16"/>
    </row>
    <row r="524" spans="6:8" ht="12.75" x14ac:dyDescent="0.2">
      <c r="F524" s="24"/>
      <c r="H524" s="16"/>
    </row>
    <row r="525" spans="6:8" ht="12.75" x14ac:dyDescent="0.2">
      <c r="F525" s="24"/>
      <c r="H525" s="16"/>
    </row>
    <row r="526" spans="6:8" ht="12.75" x14ac:dyDescent="0.2">
      <c r="F526" s="24"/>
      <c r="H526" s="16"/>
    </row>
    <row r="527" spans="6:8" ht="12.75" x14ac:dyDescent="0.2">
      <c r="F527" s="24"/>
      <c r="H527" s="16"/>
    </row>
    <row r="528" spans="6:8" ht="12.75" x14ac:dyDescent="0.2">
      <c r="F528" s="24"/>
      <c r="H528" s="16"/>
    </row>
    <row r="529" spans="6:8" ht="12.75" x14ac:dyDescent="0.2">
      <c r="F529" s="24"/>
      <c r="H529" s="16"/>
    </row>
    <row r="530" spans="6:8" ht="12.75" x14ac:dyDescent="0.2">
      <c r="F530" s="24"/>
      <c r="H530" s="16"/>
    </row>
    <row r="531" spans="6:8" ht="12.75" x14ac:dyDescent="0.2">
      <c r="F531" s="24"/>
      <c r="H531" s="16"/>
    </row>
    <row r="532" spans="6:8" ht="12.75" x14ac:dyDescent="0.2">
      <c r="F532" s="24"/>
      <c r="H532" s="16"/>
    </row>
    <row r="533" spans="6:8" ht="12.75" x14ac:dyDescent="0.2">
      <c r="F533" s="24"/>
      <c r="H533" s="16"/>
    </row>
    <row r="534" spans="6:8" ht="12.75" x14ac:dyDescent="0.2">
      <c r="F534" s="24"/>
      <c r="H534" s="16"/>
    </row>
    <row r="535" spans="6:8" ht="12.75" x14ac:dyDescent="0.2">
      <c r="F535" s="24"/>
      <c r="H535" s="16"/>
    </row>
    <row r="536" spans="6:8" ht="12.75" x14ac:dyDescent="0.2">
      <c r="F536" s="24"/>
      <c r="H536" s="16"/>
    </row>
    <row r="537" spans="6:8" ht="12.75" x14ac:dyDescent="0.2">
      <c r="F537" s="24"/>
      <c r="H537" s="16"/>
    </row>
    <row r="538" spans="6:8" ht="12.75" x14ac:dyDescent="0.2">
      <c r="F538" s="24"/>
      <c r="H538" s="16"/>
    </row>
    <row r="539" spans="6:8" ht="12.75" x14ac:dyDescent="0.2">
      <c r="F539" s="24"/>
      <c r="H539" s="16"/>
    </row>
    <row r="540" spans="6:8" ht="12.75" x14ac:dyDescent="0.2">
      <c r="F540" s="24"/>
      <c r="H540" s="16"/>
    </row>
    <row r="541" spans="6:8" ht="12.75" x14ac:dyDescent="0.2">
      <c r="F541" s="24"/>
      <c r="H541" s="16"/>
    </row>
    <row r="542" spans="6:8" ht="12.75" x14ac:dyDescent="0.2">
      <c r="F542" s="24"/>
      <c r="H542" s="16"/>
    </row>
    <row r="543" spans="6:8" ht="12.75" x14ac:dyDescent="0.2">
      <c r="F543" s="24"/>
      <c r="H543" s="16"/>
    </row>
    <row r="544" spans="6:8" ht="12.75" x14ac:dyDescent="0.2">
      <c r="F544" s="24"/>
      <c r="H544" s="16"/>
    </row>
    <row r="545" spans="6:8" ht="12.75" x14ac:dyDescent="0.2">
      <c r="F545" s="24"/>
      <c r="H545" s="16"/>
    </row>
    <row r="546" spans="6:8" ht="12.75" x14ac:dyDescent="0.2">
      <c r="F546" s="24"/>
      <c r="H546" s="16"/>
    </row>
    <row r="547" spans="6:8" ht="12.75" x14ac:dyDescent="0.2">
      <c r="F547" s="24"/>
      <c r="H547" s="16"/>
    </row>
    <row r="548" spans="6:8" ht="12.75" x14ac:dyDescent="0.2">
      <c r="F548" s="24"/>
      <c r="H548" s="16"/>
    </row>
    <row r="549" spans="6:8" ht="12.75" x14ac:dyDescent="0.2">
      <c r="F549" s="24"/>
      <c r="H549" s="16"/>
    </row>
    <row r="550" spans="6:8" ht="12.75" x14ac:dyDescent="0.2">
      <c r="F550" s="24"/>
      <c r="H550" s="16"/>
    </row>
    <row r="551" spans="6:8" ht="12.75" x14ac:dyDescent="0.2">
      <c r="F551" s="24"/>
      <c r="H551" s="16"/>
    </row>
    <row r="552" spans="6:8" ht="12.75" x14ac:dyDescent="0.2">
      <c r="F552" s="24"/>
      <c r="H552" s="16"/>
    </row>
    <row r="553" spans="6:8" ht="12.75" x14ac:dyDescent="0.2">
      <c r="F553" s="24"/>
      <c r="H553" s="16"/>
    </row>
    <row r="554" spans="6:8" ht="12.75" x14ac:dyDescent="0.2">
      <c r="F554" s="24"/>
      <c r="H554" s="16"/>
    </row>
    <row r="555" spans="6:8" ht="12.75" x14ac:dyDescent="0.2">
      <c r="F555" s="24"/>
      <c r="H555" s="16"/>
    </row>
    <row r="556" spans="6:8" ht="12.75" x14ac:dyDescent="0.2">
      <c r="F556" s="24"/>
      <c r="H556" s="16"/>
    </row>
    <row r="557" spans="6:8" ht="12.75" x14ac:dyDescent="0.2">
      <c r="F557" s="24"/>
      <c r="H557" s="16"/>
    </row>
    <row r="558" spans="6:8" ht="12.75" x14ac:dyDescent="0.2">
      <c r="F558" s="24"/>
      <c r="H558" s="16"/>
    </row>
    <row r="559" spans="6:8" ht="12.75" x14ac:dyDescent="0.2">
      <c r="F559" s="24"/>
      <c r="H559" s="16"/>
    </row>
    <row r="560" spans="6:8" ht="12.75" x14ac:dyDescent="0.2">
      <c r="F560" s="24"/>
      <c r="H560" s="16"/>
    </row>
    <row r="561" spans="6:8" ht="12.75" x14ac:dyDescent="0.2">
      <c r="F561" s="24"/>
      <c r="H561" s="16"/>
    </row>
    <row r="562" spans="6:8" ht="12.75" x14ac:dyDescent="0.2">
      <c r="F562" s="24"/>
      <c r="H562" s="16"/>
    </row>
    <row r="563" spans="6:8" ht="12.75" x14ac:dyDescent="0.2">
      <c r="F563" s="24"/>
      <c r="H563" s="16"/>
    </row>
    <row r="564" spans="6:8" ht="12.75" x14ac:dyDescent="0.2">
      <c r="F564" s="24"/>
      <c r="H564" s="16"/>
    </row>
    <row r="565" spans="6:8" ht="12.75" x14ac:dyDescent="0.2">
      <c r="F565" s="24"/>
      <c r="H565" s="16"/>
    </row>
    <row r="566" spans="6:8" ht="12.75" x14ac:dyDescent="0.2">
      <c r="F566" s="24"/>
      <c r="H566" s="16"/>
    </row>
    <row r="567" spans="6:8" ht="12.75" x14ac:dyDescent="0.2">
      <c r="F567" s="24"/>
      <c r="H567" s="16"/>
    </row>
    <row r="568" spans="6:8" ht="12.75" x14ac:dyDescent="0.2">
      <c r="F568" s="24"/>
      <c r="H568" s="16"/>
    </row>
    <row r="569" spans="6:8" ht="12.75" x14ac:dyDescent="0.2">
      <c r="F569" s="24"/>
      <c r="H569" s="16"/>
    </row>
    <row r="570" spans="6:8" ht="12.75" x14ac:dyDescent="0.2">
      <c r="F570" s="24"/>
      <c r="H570" s="16"/>
    </row>
    <row r="571" spans="6:8" ht="12.75" x14ac:dyDescent="0.2">
      <c r="F571" s="24"/>
      <c r="H571" s="16"/>
    </row>
    <row r="572" spans="6:8" ht="12.75" x14ac:dyDescent="0.2">
      <c r="F572" s="24"/>
      <c r="H572" s="16"/>
    </row>
    <row r="573" spans="6:8" ht="12.75" x14ac:dyDescent="0.2">
      <c r="F573" s="24"/>
      <c r="H573" s="16"/>
    </row>
    <row r="574" spans="6:8" ht="12.75" x14ac:dyDescent="0.2">
      <c r="F574" s="24"/>
      <c r="H574" s="16"/>
    </row>
    <row r="575" spans="6:8" ht="12.75" x14ac:dyDescent="0.2">
      <c r="F575" s="24"/>
      <c r="H575" s="16"/>
    </row>
    <row r="576" spans="6:8" ht="12.75" x14ac:dyDescent="0.2">
      <c r="F576" s="24"/>
      <c r="H576" s="16"/>
    </row>
    <row r="577" spans="6:8" ht="12.75" x14ac:dyDescent="0.2">
      <c r="F577" s="24"/>
      <c r="H577" s="16"/>
    </row>
    <row r="578" spans="6:8" ht="12.75" x14ac:dyDescent="0.2">
      <c r="F578" s="24"/>
      <c r="H578" s="16"/>
    </row>
    <row r="579" spans="6:8" ht="12.75" x14ac:dyDescent="0.2">
      <c r="F579" s="24"/>
      <c r="H579" s="16"/>
    </row>
    <row r="580" spans="6:8" ht="12.75" x14ac:dyDescent="0.2">
      <c r="F580" s="24"/>
      <c r="H580" s="16"/>
    </row>
    <row r="581" spans="6:8" ht="12.75" x14ac:dyDescent="0.2">
      <c r="F581" s="24"/>
      <c r="H581" s="16"/>
    </row>
    <row r="582" spans="6:8" ht="12.75" x14ac:dyDescent="0.2">
      <c r="F582" s="24"/>
      <c r="H582" s="16"/>
    </row>
    <row r="583" spans="6:8" ht="12.75" x14ac:dyDescent="0.2">
      <c r="F583" s="24"/>
      <c r="H583" s="16"/>
    </row>
    <row r="584" spans="6:8" ht="12.75" x14ac:dyDescent="0.2">
      <c r="F584" s="24"/>
      <c r="H584" s="16"/>
    </row>
    <row r="585" spans="6:8" ht="12.75" x14ac:dyDescent="0.2">
      <c r="F585" s="24"/>
      <c r="H585" s="16"/>
    </row>
    <row r="586" spans="6:8" ht="12.75" x14ac:dyDescent="0.2">
      <c r="F586" s="24"/>
      <c r="H586" s="16"/>
    </row>
    <row r="587" spans="6:8" ht="12.75" x14ac:dyDescent="0.2">
      <c r="F587" s="24"/>
      <c r="H587" s="16"/>
    </row>
    <row r="588" spans="6:8" ht="12.75" x14ac:dyDescent="0.2">
      <c r="F588" s="24"/>
      <c r="H588" s="16"/>
    </row>
    <row r="589" spans="6:8" ht="12.75" x14ac:dyDescent="0.2">
      <c r="F589" s="24"/>
      <c r="H589" s="16"/>
    </row>
    <row r="590" spans="6:8" ht="12.75" x14ac:dyDescent="0.2">
      <c r="F590" s="24"/>
      <c r="H590" s="16"/>
    </row>
    <row r="591" spans="6:8" ht="12.75" x14ac:dyDescent="0.2">
      <c r="F591" s="24"/>
      <c r="H591" s="16"/>
    </row>
    <row r="592" spans="6:8" ht="12.75" x14ac:dyDescent="0.2">
      <c r="F592" s="24"/>
      <c r="H592" s="16"/>
    </row>
    <row r="593" spans="6:8" ht="12.75" x14ac:dyDescent="0.2">
      <c r="F593" s="24"/>
      <c r="H593" s="16"/>
    </row>
    <row r="594" spans="6:8" ht="12.75" x14ac:dyDescent="0.2">
      <c r="F594" s="24"/>
      <c r="H594" s="16"/>
    </row>
    <row r="595" spans="6:8" ht="12.75" x14ac:dyDescent="0.2">
      <c r="F595" s="24"/>
      <c r="H595" s="16"/>
    </row>
    <row r="596" spans="6:8" ht="12.75" x14ac:dyDescent="0.2">
      <c r="F596" s="24"/>
      <c r="H596" s="16"/>
    </row>
    <row r="597" spans="6:8" ht="12.75" x14ac:dyDescent="0.2">
      <c r="F597" s="24"/>
      <c r="H597" s="16"/>
    </row>
    <row r="598" spans="6:8" ht="12.75" x14ac:dyDescent="0.2">
      <c r="F598" s="24"/>
      <c r="H598" s="16"/>
    </row>
    <row r="599" spans="6:8" ht="12.75" x14ac:dyDescent="0.2">
      <c r="F599" s="24"/>
      <c r="H599" s="16"/>
    </row>
    <row r="600" spans="6:8" ht="12.75" x14ac:dyDescent="0.2">
      <c r="F600" s="24"/>
      <c r="H600" s="16"/>
    </row>
    <row r="601" spans="6:8" ht="12.75" x14ac:dyDescent="0.2">
      <c r="F601" s="24"/>
      <c r="H601" s="16"/>
    </row>
    <row r="602" spans="6:8" ht="12.75" x14ac:dyDescent="0.2">
      <c r="F602" s="24"/>
      <c r="H602" s="16"/>
    </row>
    <row r="603" spans="6:8" ht="12.75" x14ac:dyDescent="0.2">
      <c r="F603" s="24"/>
      <c r="H603" s="16"/>
    </row>
    <row r="604" spans="6:8" ht="12.75" x14ac:dyDescent="0.2">
      <c r="F604" s="24"/>
      <c r="H604" s="16"/>
    </row>
    <row r="605" spans="6:8" ht="12.75" x14ac:dyDescent="0.2">
      <c r="F605" s="24"/>
      <c r="H605" s="16"/>
    </row>
    <row r="606" spans="6:8" ht="12.75" x14ac:dyDescent="0.2">
      <c r="F606" s="24"/>
      <c r="H606" s="16"/>
    </row>
    <row r="607" spans="6:8" ht="12.75" x14ac:dyDescent="0.2">
      <c r="F607" s="24"/>
      <c r="H607" s="16"/>
    </row>
    <row r="608" spans="6:8" ht="12.75" x14ac:dyDescent="0.2">
      <c r="F608" s="24"/>
      <c r="H608" s="16"/>
    </row>
    <row r="609" spans="6:8" ht="12.75" x14ac:dyDescent="0.2">
      <c r="F609" s="24"/>
      <c r="H609" s="16"/>
    </row>
    <row r="610" spans="6:8" ht="12.75" x14ac:dyDescent="0.2">
      <c r="F610" s="24"/>
      <c r="H610" s="16"/>
    </row>
    <row r="611" spans="6:8" ht="12.75" x14ac:dyDescent="0.2">
      <c r="F611" s="24"/>
      <c r="H611" s="16"/>
    </row>
    <row r="612" spans="6:8" ht="12.75" x14ac:dyDescent="0.2">
      <c r="F612" s="24"/>
      <c r="H612" s="16"/>
    </row>
    <row r="613" spans="6:8" ht="12.75" x14ac:dyDescent="0.2">
      <c r="F613" s="24"/>
      <c r="H613" s="16"/>
    </row>
    <row r="614" spans="6:8" ht="12.75" x14ac:dyDescent="0.2">
      <c r="F614" s="24"/>
      <c r="H614" s="16"/>
    </row>
    <row r="615" spans="6:8" ht="12.75" x14ac:dyDescent="0.2">
      <c r="F615" s="24"/>
      <c r="H615" s="16"/>
    </row>
    <row r="616" spans="6:8" ht="12.75" x14ac:dyDescent="0.2">
      <c r="F616" s="24"/>
      <c r="H616" s="16"/>
    </row>
    <row r="617" spans="6:8" ht="12.75" x14ac:dyDescent="0.2">
      <c r="F617" s="24"/>
      <c r="H617" s="16"/>
    </row>
    <row r="618" spans="6:8" ht="12.75" x14ac:dyDescent="0.2">
      <c r="F618" s="24"/>
      <c r="H618" s="16"/>
    </row>
    <row r="619" spans="6:8" ht="12.75" x14ac:dyDescent="0.2">
      <c r="F619" s="24"/>
      <c r="H619" s="16"/>
    </row>
    <row r="620" spans="6:8" ht="12.75" x14ac:dyDescent="0.2">
      <c r="F620" s="24"/>
      <c r="H620" s="16"/>
    </row>
    <row r="621" spans="6:8" ht="12.75" x14ac:dyDescent="0.2">
      <c r="F621" s="24"/>
      <c r="H621" s="16"/>
    </row>
    <row r="622" spans="6:8" ht="12.75" x14ac:dyDescent="0.2">
      <c r="F622" s="24"/>
      <c r="H622" s="16"/>
    </row>
    <row r="623" spans="6:8" ht="12.75" x14ac:dyDescent="0.2">
      <c r="F623" s="24"/>
      <c r="H623" s="16"/>
    </row>
    <row r="624" spans="6:8" ht="12.75" x14ac:dyDescent="0.2">
      <c r="F624" s="24"/>
      <c r="H624" s="16"/>
    </row>
    <row r="625" spans="6:8" ht="12.75" x14ac:dyDescent="0.2">
      <c r="F625" s="24"/>
      <c r="H625" s="16"/>
    </row>
    <row r="626" spans="6:8" ht="12.75" x14ac:dyDescent="0.2">
      <c r="F626" s="24"/>
      <c r="H626" s="16"/>
    </row>
    <row r="627" spans="6:8" ht="12.75" x14ac:dyDescent="0.2">
      <c r="F627" s="24"/>
      <c r="H627" s="16"/>
    </row>
    <row r="628" spans="6:8" ht="12.75" x14ac:dyDescent="0.2">
      <c r="F628" s="24"/>
      <c r="H628" s="16"/>
    </row>
    <row r="629" spans="6:8" ht="12.75" x14ac:dyDescent="0.2">
      <c r="F629" s="24"/>
      <c r="H629" s="16"/>
    </row>
    <row r="630" spans="6:8" ht="12.75" x14ac:dyDescent="0.2">
      <c r="F630" s="24"/>
      <c r="H630" s="16"/>
    </row>
    <row r="631" spans="6:8" ht="12.75" x14ac:dyDescent="0.2">
      <c r="F631" s="24"/>
      <c r="H631" s="16"/>
    </row>
    <row r="632" spans="6:8" ht="12.75" x14ac:dyDescent="0.2">
      <c r="F632" s="24"/>
      <c r="H632" s="16"/>
    </row>
    <row r="633" spans="6:8" ht="12.75" x14ac:dyDescent="0.2">
      <c r="F633" s="24"/>
      <c r="H633" s="16"/>
    </row>
    <row r="634" spans="6:8" ht="12.75" x14ac:dyDescent="0.2">
      <c r="F634" s="24"/>
      <c r="H634" s="16"/>
    </row>
    <row r="635" spans="6:8" ht="12.75" x14ac:dyDescent="0.2">
      <c r="F635" s="24"/>
      <c r="H635" s="16"/>
    </row>
    <row r="636" spans="6:8" ht="12.75" x14ac:dyDescent="0.2">
      <c r="F636" s="24"/>
      <c r="H636" s="16"/>
    </row>
    <row r="637" spans="6:8" ht="12.75" x14ac:dyDescent="0.2">
      <c r="F637" s="24"/>
      <c r="H637" s="16"/>
    </row>
    <row r="638" spans="6:8" ht="12.75" x14ac:dyDescent="0.2">
      <c r="F638" s="24"/>
      <c r="H638" s="16"/>
    </row>
    <row r="639" spans="6:8" ht="12.75" x14ac:dyDescent="0.2">
      <c r="F639" s="24"/>
      <c r="H639" s="16"/>
    </row>
    <row r="640" spans="6:8" ht="12.75" x14ac:dyDescent="0.2">
      <c r="F640" s="24"/>
      <c r="H640" s="16"/>
    </row>
    <row r="641" spans="6:8" ht="12.75" x14ac:dyDescent="0.2">
      <c r="F641" s="24"/>
      <c r="H641" s="16"/>
    </row>
    <row r="642" spans="6:8" ht="12.75" x14ac:dyDescent="0.2">
      <c r="F642" s="24"/>
      <c r="H642" s="16"/>
    </row>
    <row r="643" spans="6:8" ht="12.75" x14ac:dyDescent="0.2">
      <c r="F643" s="24"/>
      <c r="H643" s="16"/>
    </row>
    <row r="644" spans="6:8" ht="12.75" x14ac:dyDescent="0.2">
      <c r="F644" s="24"/>
      <c r="H644" s="16"/>
    </row>
    <row r="645" spans="6:8" ht="12.75" x14ac:dyDescent="0.2">
      <c r="F645" s="24"/>
      <c r="H645" s="16"/>
    </row>
    <row r="646" spans="6:8" ht="12.75" x14ac:dyDescent="0.2">
      <c r="F646" s="24"/>
      <c r="H646" s="16"/>
    </row>
    <row r="647" spans="6:8" ht="12.75" x14ac:dyDescent="0.2">
      <c r="F647" s="24"/>
      <c r="H647" s="16"/>
    </row>
    <row r="648" spans="6:8" ht="12.75" x14ac:dyDescent="0.2">
      <c r="F648" s="24"/>
      <c r="H648" s="16"/>
    </row>
    <row r="649" spans="6:8" ht="12.75" x14ac:dyDescent="0.2">
      <c r="F649" s="24"/>
      <c r="H649" s="16"/>
    </row>
    <row r="650" spans="6:8" ht="12.75" x14ac:dyDescent="0.2">
      <c r="F650" s="24"/>
      <c r="H650" s="16"/>
    </row>
    <row r="651" spans="6:8" ht="12.75" x14ac:dyDescent="0.2">
      <c r="F651" s="24"/>
      <c r="H651" s="16"/>
    </row>
    <row r="652" spans="6:8" ht="12.75" x14ac:dyDescent="0.2">
      <c r="F652" s="24"/>
      <c r="H652" s="16"/>
    </row>
    <row r="653" spans="6:8" ht="12.75" x14ac:dyDescent="0.2">
      <c r="F653" s="24"/>
      <c r="H653" s="16"/>
    </row>
    <row r="654" spans="6:8" ht="12.75" x14ac:dyDescent="0.2">
      <c r="F654" s="24"/>
      <c r="H654" s="16"/>
    </row>
    <row r="655" spans="6:8" ht="12.75" x14ac:dyDescent="0.2">
      <c r="F655" s="24"/>
      <c r="H655" s="16"/>
    </row>
    <row r="656" spans="6:8" ht="12.75" x14ac:dyDescent="0.2">
      <c r="F656" s="24"/>
      <c r="H656" s="16"/>
    </row>
    <row r="657" spans="6:8" ht="12.75" x14ac:dyDescent="0.2">
      <c r="F657" s="24"/>
      <c r="H657" s="16"/>
    </row>
    <row r="658" spans="6:8" ht="12.75" x14ac:dyDescent="0.2">
      <c r="F658" s="24"/>
      <c r="H658" s="16"/>
    </row>
    <row r="659" spans="6:8" ht="12.75" x14ac:dyDescent="0.2">
      <c r="F659" s="24"/>
      <c r="H659" s="16"/>
    </row>
    <row r="660" spans="6:8" ht="12.75" x14ac:dyDescent="0.2">
      <c r="F660" s="24"/>
      <c r="H660" s="16"/>
    </row>
    <row r="661" spans="6:8" ht="12.75" x14ac:dyDescent="0.2">
      <c r="F661" s="24"/>
      <c r="H661" s="16"/>
    </row>
    <row r="662" spans="6:8" ht="12.75" x14ac:dyDescent="0.2">
      <c r="F662" s="24"/>
      <c r="H662" s="16"/>
    </row>
    <row r="663" spans="6:8" ht="12.75" x14ac:dyDescent="0.2">
      <c r="F663" s="24"/>
      <c r="H663" s="16"/>
    </row>
    <row r="664" spans="6:8" ht="12.75" x14ac:dyDescent="0.2">
      <c r="F664" s="24"/>
      <c r="H664" s="16"/>
    </row>
    <row r="665" spans="6:8" ht="12.75" x14ac:dyDescent="0.2">
      <c r="F665" s="24"/>
      <c r="H665" s="16"/>
    </row>
    <row r="666" spans="6:8" ht="12.75" x14ac:dyDescent="0.2">
      <c r="F666" s="24"/>
      <c r="H666" s="16"/>
    </row>
    <row r="667" spans="6:8" ht="12.75" x14ac:dyDescent="0.2">
      <c r="F667" s="24"/>
      <c r="H667" s="16"/>
    </row>
    <row r="668" spans="6:8" ht="12.75" x14ac:dyDescent="0.2">
      <c r="F668" s="24"/>
      <c r="H668" s="16"/>
    </row>
    <row r="669" spans="6:8" ht="12.75" x14ac:dyDescent="0.2">
      <c r="F669" s="24"/>
      <c r="H669" s="16"/>
    </row>
    <row r="670" spans="6:8" ht="12.75" x14ac:dyDescent="0.2">
      <c r="F670" s="24"/>
      <c r="H670" s="16"/>
    </row>
    <row r="671" spans="6:8" ht="12.75" x14ac:dyDescent="0.2">
      <c r="F671" s="24"/>
      <c r="H671" s="16"/>
    </row>
    <row r="672" spans="6:8" ht="12.75" x14ac:dyDescent="0.2">
      <c r="F672" s="24"/>
      <c r="H672" s="16"/>
    </row>
    <row r="673" spans="6:8" ht="12.75" x14ac:dyDescent="0.2">
      <c r="F673" s="24"/>
      <c r="H673" s="16"/>
    </row>
    <row r="674" spans="6:8" ht="12.75" x14ac:dyDescent="0.2">
      <c r="F674" s="24"/>
      <c r="H674" s="16"/>
    </row>
    <row r="675" spans="6:8" ht="12.75" x14ac:dyDescent="0.2">
      <c r="F675" s="24"/>
      <c r="H675" s="16"/>
    </row>
    <row r="676" spans="6:8" ht="12.75" x14ac:dyDescent="0.2">
      <c r="F676" s="24"/>
      <c r="H676" s="16"/>
    </row>
    <row r="677" spans="6:8" ht="12.75" x14ac:dyDescent="0.2">
      <c r="F677" s="24"/>
      <c r="H677" s="16"/>
    </row>
    <row r="678" spans="6:8" ht="12.75" x14ac:dyDescent="0.2">
      <c r="F678" s="24"/>
      <c r="H678" s="16"/>
    </row>
    <row r="679" spans="6:8" ht="12.75" x14ac:dyDescent="0.2">
      <c r="F679" s="24"/>
      <c r="H679" s="16"/>
    </row>
    <row r="680" spans="6:8" ht="12.75" x14ac:dyDescent="0.2">
      <c r="F680" s="24"/>
      <c r="H680" s="16"/>
    </row>
    <row r="681" spans="6:8" ht="12.75" x14ac:dyDescent="0.2">
      <c r="F681" s="24"/>
      <c r="H681" s="16"/>
    </row>
    <row r="682" spans="6:8" ht="12.75" x14ac:dyDescent="0.2">
      <c r="F682" s="24"/>
      <c r="H682" s="16"/>
    </row>
    <row r="683" spans="6:8" ht="12.75" x14ac:dyDescent="0.2">
      <c r="F683" s="24"/>
      <c r="H683" s="16"/>
    </row>
    <row r="684" spans="6:8" ht="12.75" x14ac:dyDescent="0.2">
      <c r="F684" s="24"/>
      <c r="H684" s="16"/>
    </row>
    <row r="685" spans="6:8" ht="12.75" x14ac:dyDescent="0.2">
      <c r="F685" s="24"/>
      <c r="H685" s="16"/>
    </row>
    <row r="686" spans="6:8" ht="12.75" x14ac:dyDescent="0.2">
      <c r="F686" s="24"/>
      <c r="H686" s="16"/>
    </row>
    <row r="687" spans="6:8" ht="12.75" x14ac:dyDescent="0.2">
      <c r="F687" s="24"/>
      <c r="H687" s="16"/>
    </row>
    <row r="688" spans="6:8" ht="12.75" x14ac:dyDescent="0.2">
      <c r="F688" s="24"/>
      <c r="H688" s="16"/>
    </row>
    <row r="689" spans="6:8" ht="12.75" x14ac:dyDescent="0.2">
      <c r="F689" s="24"/>
      <c r="H689" s="16"/>
    </row>
    <row r="690" spans="6:8" ht="12.75" x14ac:dyDescent="0.2">
      <c r="F690" s="24"/>
      <c r="H690" s="16"/>
    </row>
    <row r="691" spans="6:8" ht="12.75" x14ac:dyDescent="0.2">
      <c r="F691" s="24"/>
      <c r="H691" s="16"/>
    </row>
    <row r="692" spans="6:8" ht="12.75" x14ac:dyDescent="0.2">
      <c r="F692" s="24"/>
      <c r="H692" s="16"/>
    </row>
    <row r="693" spans="6:8" ht="12.75" x14ac:dyDescent="0.2">
      <c r="F693" s="24"/>
      <c r="H693" s="16"/>
    </row>
    <row r="694" spans="6:8" ht="12.75" x14ac:dyDescent="0.2">
      <c r="F694" s="24"/>
      <c r="H694" s="16"/>
    </row>
    <row r="695" spans="6:8" ht="12.75" x14ac:dyDescent="0.2">
      <c r="F695" s="24"/>
      <c r="H695" s="16"/>
    </row>
    <row r="696" spans="6:8" ht="12.75" x14ac:dyDescent="0.2">
      <c r="F696" s="24"/>
      <c r="H696" s="16"/>
    </row>
    <row r="697" spans="6:8" ht="12.75" x14ac:dyDescent="0.2">
      <c r="F697" s="24"/>
      <c r="H697" s="16"/>
    </row>
    <row r="698" spans="6:8" ht="12.75" x14ac:dyDescent="0.2">
      <c r="F698" s="24"/>
      <c r="H698" s="16"/>
    </row>
    <row r="699" spans="6:8" ht="12.75" x14ac:dyDescent="0.2">
      <c r="F699" s="24"/>
      <c r="H699" s="16"/>
    </row>
    <row r="700" spans="6:8" ht="12.75" x14ac:dyDescent="0.2">
      <c r="F700" s="24"/>
      <c r="H700" s="16"/>
    </row>
    <row r="701" spans="6:8" ht="12.75" x14ac:dyDescent="0.2">
      <c r="F701" s="24"/>
      <c r="H701" s="16"/>
    </row>
    <row r="702" spans="6:8" ht="12.75" x14ac:dyDescent="0.2">
      <c r="F702" s="24"/>
      <c r="H702" s="16"/>
    </row>
    <row r="703" spans="6:8" ht="12.75" x14ac:dyDescent="0.2">
      <c r="F703" s="24"/>
      <c r="H703" s="16"/>
    </row>
    <row r="704" spans="6:8" ht="12.75" x14ac:dyDescent="0.2">
      <c r="F704" s="24"/>
      <c r="H704" s="16"/>
    </row>
    <row r="705" spans="6:8" ht="12.75" x14ac:dyDescent="0.2">
      <c r="F705" s="24"/>
      <c r="H705" s="16"/>
    </row>
    <row r="706" spans="6:8" ht="12.75" x14ac:dyDescent="0.2">
      <c r="F706" s="24"/>
      <c r="H706" s="16"/>
    </row>
    <row r="707" spans="6:8" ht="12.75" x14ac:dyDescent="0.2">
      <c r="F707" s="24"/>
      <c r="H707" s="16"/>
    </row>
    <row r="708" spans="6:8" ht="12.75" x14ac:dyDescent="0.2">
      <c r="F708" s="24"/>
      <c r="H708" s="16"/>
    </row>
    <row r="709" spans="6:8" ht="12.75" x14ac:dyDescent="0.2">
      <c r="F709" s="24"/>
      <c r="H709" s="16"/>
    </row>
    <row r="710" spans="6:8" ht="12.75" x14ac:dyDescent="0.2">
      <c r="F710" s="24"/>
      <c r="H710" s="16"/>
    </row>
    <row r="711" spans="6:8" ht="12.75" x14ac:dyDescent="0.2">
      <c r="F711" s="24"/>
      <c r="H711" s="16"/>
    </row>
    <row r="712" spans="6:8" ht="12.75" x14ac:dyDescent="0.2">
      <c r="F712" s="24"/>
      <c r="H712" s="16"/>
    </row>
    <row r="713" spans="6:8" ht="12.75" x14ac:dyDescent="0.2">
      <c r="F713" s="24"/>
      <c r="H713" s="16"/>
    </row>
    <row r="714" spans="6:8" ht="12.75" x14ac:dyDescent="0.2">
      <c r="F714" s="24"/>
      <c r="H714" s="16"/>
    </row>
    <row r="715" spans="6:8" ht="12.75" x14ac:dyDescent="0.2">
      <c r="F715" s="24"/>
      <c r="H715" s="16"/>
    </row>
    <row r="716" spans="6:8" ht="12.75" x14ac:dyDescent="0.2">
      <c r="F716" s="24"/>
      <c r="H716" s="16"/>
    </row>
    <row r="717" spans="6:8" ht="12.75" x14ac:dyDescent="0.2">
      <c r="F717" s="24"/>
      <c r="H717" s="16"/>
    </row>
    <row r="718" spans="6:8" ht="12.75" x14ac:dyDescent="0.2">
      <c r="F718" s="24"/>
      <c r="H718" s="16"/>
    </row>
    <row r="719" spans="6:8" ht="12.75" x14ac:dyDescent="0.2">
      <c r="F719" s="24"/>
      <c r="H719" s="16"/>
    </row>
    <row r="720" spans="6:8" ht="12.75" x14ac:dyDescent="0.2">
      <c r="F720" s="24"/>
      <c r="H720" s="16"/>
    </row>
    <row r="721" spans="6:8" ht="12.75" x14ac:dyDescent="0.2">
      <c r="F721" s="24"/>
      <c r="H721" s="16"/>
    </row>
    <row r="722" spans="6:8" ht="12.75" x14ac:dyDescent="0.2">
      <c r="F722" s="24"/>
      <c r="H722" s="16"/>
    </row>
    <row r="723" spans="6:8" ht="12.75" x14ac:dyDescent="0.2">
      <c r="F723" s="24"/>
      <c r="H723" s="16"/>
    </row>
    <row r="724" spans="6:8" ht="12.75" x14ac:dyDescent="0.2">
      <c r="F724" s="24"/>
      <c r="H724" s="16"/>
    </row>
    <row r="725" spans="6:8" ht="12.75" x14ac:dyDescent="0.2">
      <c r="F725" s="24"/>
      <c r="H725" s="16"/>
    </row>
    <row r="726" spans="6:8" ht="12.75" x14ac:dyDescent="0.2">
      <c r="F726" s="24"/>
      <c r="H726" s="16"/>
    </row>
    <row r="727" spans="6:8" ht="12.75" x14ac:dyDescent="0.2">
      <c r="F727" s="24"/>
      <c r="H727" s="16"/>
    </row>
    <row r="728" spans="6:8" ht="12.75" x14ac:dyDescent="0.2">
      <c r="F728" s="24"/>
      <c r="H728" s="16"/>
    </row>
    <row r="729" spans="6:8" ht="12.75" x14ac:dyDescent="0.2">
      <c r="F729" s="24"/>
      <c r="H729" s="16"/>
    </row>
    <row r="730" spans="6:8" ht="12.75" x14ac:dyDescent="0.2">
      <c r="F730" s="24"/>
      <c r="H730" s="16"/>
    </row>
    <row r="731" spans="6:8" ht="12.75" x14ac:dyDescent="0.2">
      <c r="F731" s="24"/>
      <c r="H731" s="16"/>
    </row>
    <row r="732" spans="6:8" ht="12.75" x14ac:dyDescent="0.2">
      <c r="F732" s="24"/>
      <c r="H732" s="16"/>
    </row>
    <row r="733" spans="6:8" ht="12.75" x14ac:dyDescent="0.2">
      <c r="F733" s="24"/>
      <c r="H733" s="16"/>
    </row>
    <row r="734" spans="6:8" ht="12.75" x14ac:dyDescent="0.2">
      <c r="F734" s="24"/>
      <c r="H734" s="16"/>
    </row>
    <row r="735" spans="6:8" ht="12.75" x14ac:dyDescent="0.2">
      <c r="F735" s="24"/>
      <c r="H735" s="16"/>
    </row>
    <row r="736" spans="6:8" ht="12.75" x14ac:dyDescent="0.2">
      <c r="F736" s="24"/>
      <c r="H736" s="16"/>
    </row>
    <row r="737" spans="6:8" ht="12.75" x14ac:dyDescent="0.2">
      <c r="F737" s="24"/>
      <c r="H737" s="16"/>
    </row>
    <row r="738" spans="6:8" ht="12.75" x14ac:dyDescent="0.2">
      <c r="F738" s="24"/>
      <c r="H738" s="16"/>
    </row>
    <row r="739" spans="6:8" ht="12.75" x14ac:dyDescent="0.2">
      <c r="F739" s="24"/>
      <c r="H739" s="16"/>
    </row>
    <row r="740" spans="6:8" ht="12.75" x14ac:dyDescent="0.2">
      <c r="F740" s="24"/>
      <c r="H740" s="16"/>
    </row>
    <row r="741" spans="6:8" ht="12.75" x14ac:dyDescent="0.2">
      <c r="F741" s="24"/>
      <c r="H741" s="16"/>
    </row>
    <row r="742" spans="6:8" ht="12.75" x14ac:dyDescent="0.2">
      <c r="F742" s="24"/>
      <c r="H742" s="16"/>
    </row>
    <row r="743" spans="6:8" ht="12.75" x14ac:dyDescent="0.2">
      <c r="F743" s="24"/>
      <c r="H743" s="16"/>
    </row>
    <row r="744" spans="6:8" ht="12.75" x14ac:dyDescent="0.2">
      <c r="F744" s="24"/>
      <c r="H744" s="16"/>
    </row>
    <row r="745" spans="6:8" ht="12.75" x14ac:dyDescent="0.2">
      <c r="F745" s="24"/>
      <c r="H745" s="16"/>
    </row>
    <row r="746" spans="6:8" ht="12.75" x14ac:dyDescent="0.2">
      <c r="F746" s="24"/>
      <c r="H746" s="16"/>
    </row>
    <row r="747" spans="6:8" ht="12.75" x14ac:dyDescent="0.2">
      <c r="F747" s="24"/>
      <c r="H747" s="16"/>
    </row>
    <row r="748" spans="6:8" ht="12.75" x14ac:dyDescent="0.2">
      <c r="F748" s="24"/>
      <c r="H748" s="16"/>
    </row>
    <row r="749" spans="6:8" ht="12.75" x14ac:dyDescent="0.2">
      <c r="F749" s="24"/>
      <c r="H749" s="16"/>
    </row>
    <row r="750" spans="6:8" ht="12.75" x14ac:dyDescent="0.2">
      <c r="F750" s="24"/>
      <c r="H750" s="16"/>
    </row>
    <row r="751" spans="6:8" ht="12.75" x14ac:dyDescent="0.2">
      <c r="F751" s="24"/>
      <c r="H751" s="16"/>
    </row>
    <row r="752" spans="6:8" ht="12.75" x14ac:dyDescent="0.2">
      <c r="F752" s="24"/>
      <c r="H752" s="16"/>
    </row>
    <row r="753" spans="6:8" ht="12.75" x14ac:dyDescent="0.2">
      <c r="F753" s="24"/>
      <c r="H753" s="16"/>
    </row>
    <row r="754" spans="6:8" ht="12.75" x14ac:dyDescent="0.2">
      <c r="F754" s="24"/>
      <c r="H754" s="16"/>
    </row>
    <row r="755" spans="6:8" ht="12.75" x14ac:dyDescent="0.2">
      <c r="F755" s="24"/>
      <c r="H755" s="16"/>
    </row>
    <row r="756" spans="6:8" ht="12.75" x14ac:dyDescent="0.2">
      <c r="F756" s="24"/>
      <c r="H756" s="16"/>
    </row>
    <row r="757" spans="6:8" ht="12.75" x14ac:dyDescent="0.2">
      <c r="F757" s="24"/>
      <c r="H757" s="16"/>
    </row>
    <row r="758" spans="6:8" ht="12.75" x14ac:dyDescent="0.2">
      <c r="F758" s="24"/>
      <c r="H758" s="16"/>
    </row>
    <row r="759" spans="6:8" ht="12.75" x14ac:dyDescent="0.2">
      <c r="F759" s="24"/>
      <c r="H759" s="16"/>
    </row>
    <row r="760" spans="6:8" ht="12.75" x14ac:dyDescent="0.2">
      <c r="F760" s="24"/>
      <c r="H760" s="16"/>
    </row>
    <row r="761" spans="6:8" ht="12.75" x14ac:dyDescent="0.2">
      <c r="F761" s="24"/>
      <c r="H761" s="16"/>
    </row>
    <row r="762" spans="6:8" ht="12.75" x14ac:dyDescent="0.2">
      <c r="F762" s="24"/>
      <c r="H762" s="16"/>
    </row>
    <row r="763" spans="6:8" ht="12.75" x14ac:dyDescent="0.2">
      <c r="F763" s="24"/>
      <c r="H763" s="16"/>
    </row>
    <row r="764" spans="6:8" ht="12.75" x14ac:dyDescent="0.2">
      <c r="F764" s="24"/>
      <c r="H764" s="16"/>
    </row>
    <row r="765" spans="6:8" ht="12.75" x14ac:dyDescent="0.2">
      <c r="F765" s="24"/>
      <c r="H765" s="16"/>
    </row>
    <row r="766" spans="6:8" ht="12.75" x14ac:dyDescent="0.2">
      <c r="F766" s="24"/>
      <c r="H766" s="16"/>
    </row>
    <row r="767" spans="6:8" ht="12.75" x14ac:dyDescent="0.2">
      <c r="F767" s="24"/>
      <c r="H767" s="16"/>
    </row>
    <row r="768" spans="6:8" ht="12.75" x14ac:dyDescent="0.2">
      <c r="F768" s="24"/>
      <c r="H768" s="16"/>
    </row>
    <row r="769" spans="6:8" ht="12.75" x14ac:dyDescent="0.2">
      <c r="F769" s="24"/>
      <c r="H769" s="16"/>
    </row>
    <row r="770" spans="6:8" ht="12.75" x14ac:dyDescent="0.2">
      <c r="F770" s="24"/>
      <c r="H770" s="16"/>
    </row>
    <row r="771" spans="6:8" ht="12.75" x14ac:dyDescent="0.2">
      <c r="F771" s="24"/>
      <c r="H771" s="16"/>
    </row>
    <row r="772" spans="6:8" ht="12.75" x14ac:dyDescent="0.2">
      <c r="F772" s="24"/>
      <c r="H772" s="16"/>
    </row>
    <row r="773" spans="6:8" ht="12.75" x14ac:dyDescent="0.2">
      <c r="F773" s="24"/>
      <c r="H773" s="16"/>
    </row>
    <row r="774" spans="6:8" ht="12.75" x14ac:dyDescent="0.2">
      <c r="F774" s="24"/>
      <c r="H774" s="16"/>
    </row>
    <row r="775" spans="6:8" ht="12.75" x14ac:dyDescent="0.2">
      <c r="F775" s="24"/>
      <c r="H775" s="16"/>
    </row>
    <row r="776" spans="6:8" ht="12.75" x14ac:dyDescent="0.2">
      <c r="F776" s="24"/>
      <c r="H776" s="16"/>
    </row>
    <row r="777" spans="6:8" ht="12.75" x14ac:dyDescent="0.2">
      <c r="F777" s="24"/>
      <c r="H777" s="16"/>
    </row>
    <row r="778" spans="6:8" ht="12.75" x14ac:dyDescent="0.2">
      <c r="F778" s="24"/>
      <c r="H778" s="16"/>
    </row>
    <row r="779" spans="6:8" ht="12.75" x14ac:dyDescent="0.2">
      <c r="F779" s="24"/>
      <c r="H779" s="16"/>
    </row>
    <row r="780" spans="6:8" ht="12.75" x14ac:dyDescent="0.2">
      <c r="F780" s="24"/>
      <c r="H780" s="16"/>
    </row>
    <row r="781" spans="6:8" ht="12.75" x14ac:dyDescent="0.2">
      <c r="F781" s="24"/>
      <c r="H781" s="16"/>
    </row>
    <row r="782" spans="6:8" ht="12.75" x14ac:dyDescent="0.2">
      <c r="F782" s="24"/>
      <c r="H782" s="16"/>
    </row>
    <row r="783" spans="6:8" ht="12.75" x14ac:dyDescent="0.2">
      <c r="F783" s="24"/>
      <c r="H783" s="16"/>
    </row>
    <row r="784" spans="6:8" ht="12.75" x14ac:dyDescent="0.2">
      <c r="F784" s="24"/>
      <c r="H784" s="16"/>
    </row>
    <row r="785" spans="6:8" ht="12.75" x14ac:dyDescent="0.2">
      <c r="F785" s="24"/>
      <c r="H785" s="16"/>
    </row>
    <row r="786" spans="6:8" ht="12.75" x14ac:dyDescent="0.2">
      <c r="F786" s="24"/>
      <c r="H786" s="16"/>
    </row>
    <row r="787" spans="6:8" ht="12.75" x14ac:dyDescent="0.2">
      <c r="F787" s="24"/>
      <c r="H787" s="16"/>
    </row>
    <row r="788" spans="6:8" ht="12.75" x14ac:dyDescent="0.2">
      <c r="F788" s="24"/>
      <c r="H788" s="16"/>
    </row>
    <row r="789" spans="6:8" ht="12.75" x14ac:dyDescent="0.2">
      <c r="F789" s="24"/>
      <c r="H789" s="16"/>
    </row>
    <row r="790" spans="6:8" ht="12.75" x14ac:dyDescent="0.2">
      <c r="F790" s="24"/>
      <c r="H790" s="16"/>
    </row>
    <row r="791" spans="6:8" ht="12.75" x14ac:dyDescent="0.2">
      <c r="F791" s="24"/>
      <c r="H791" s="16"/>
    </row>
    <row r="792" spans="6:8" ht="12.75" x14ac:dyDescent="0.2">
      <c r="F792" s="24"/>
      <c r="H792" s="16"/>
    </row>
    <row r="793" spans="6:8" ht="12.75" x14ac:dyDescent="0.2">
      <c r="F793" s="24"/>
      <c r="H793" s="16"/>
    </row>
    <row r="794" spans="6:8" ht="12.75" x14ac:dyDescent="0.2">
      <c r="F794" s="24"/>
      <c r="H794" s="16"/>
    </row>
    <row r="795" spans="6:8" ht="12.75" x14ac:dyDescent="0.2">
      <c r="F795" s="24"/>
      <c r="H795" s="16"/>
    </row>
    <row r="796" spans="6:8" ht="12.75" x14ac:dyDescent="0.2">
      <c r="F796" s="24"/>
      <c r="H796" s="16"/>
    </row>
    <row r="797" spans="6:8" ht="12.75" x14ac:dyDescent="0.2">
      <c r="F797" s="24"/>
      <c r="H797" s="16"/>
    </row>
    <row r="798" spans="6:8" ht="12.75" x14ac:dyDescent="0.2">
      <c r="F798" s="24"/>
      <c r="H798" s="16"/>
    </row>
    <row r="799" spans="6:8" ht="12.75" x14ac:dyDescent="0.2">
      <c r="F799" s="24"/>
      <c r="H799" s="16"/>
    </row>
    <row r="800" spans="6:8" ht="12.75" x14ac:dyDescent="0.2">
      <c r="F800" s="24"/>
      <c r="H800" s="16"/>
    </row>
    <row r="801" spans="6:8" ht="12.75" x14ac:dyDescent="0.2">
      <c r="F801" s="24"/>
      <c r="H801" s="16"/>
    </row>
    <row r="802" spans="6:8" ht="12.75" x14ac:dyDescent="0.2">
      <c r="F802" s="24"/>
      <c r="H802" s="16"/>
    </row>
    <row r="803" spans="6:8" ht="12.75" x14ac:dyDescent="0.2">
      <c r="F803" s="24"/>
      <c r="H803" s="16"/>
    </row>
    <row r="804" spans="6:8" ht="12.75" x14ac:dyDescent="0.2">
      <c r="F804" s="24"/>
      <c r="H804" s="16"/>
    </row>
    <row r="805" spans="6:8" ht="12.75" x14ac:dyDescent="0.2">
      <c r="F805" s="24"/>
      <c r="H805" s="16"/>
    </row>
    <row r="806" spans="6:8" ht="12.75" x14ac:dyDescent="0.2">
      <c r="F806" s="24"/>
      <c r="H806" s="16"/>
    </row>
    <row r="807" spans="6:8" ht="12.75" x14ac:dyDescent="0.2">
      <c r="F807" s="24"/>
      <c r="H807" s="16"/>
    </row>
    <row r="808" spans="6:8" ht="12.75" x14ac:dyDescent="0.2">
      <c r="F808" s="24"/>
      <c r="H808" s="16"/>
    </row>
    <row r="809" spans="6:8" ht="12.75" x14ac:dyDescent="0.2">
      <c r="F809" s="24"/>
      <c r="H809" s="16"/>
    </row>
    <row r="810" spans="6:8" ht="12.75" x14ac:dyDescent="0.2">
      <c r="F810" s="24"/>
      <c r="H810" s="16"/>
    </row>
    <row r="811" spans="6:8" ht="12.75" x14ac:dyDescent="0.2">
      <c r="F811" s="24"/>
      <c r="H811" s="16"/>
    </row>
    <row r="812" spans="6:8" ht="12.75" x14ac:dyDescent="0.2">
      <c r="F812" s="24"/>
      <c r="H812" s="16"/>
    </row>
    <row r="813" spans="6:8" ht="12.75" x14ac:dyDescent="0.2">
      <c r="F813" s="24"/>
      <c r="H813" s="16"/>
    </row>
    <row r="814" spans="6:8" ht="12.75" x14ac:dyDescent="0.2">
      <c r="F814" s="24"/>
      <c r="H814" s="16"/>
    </row>
    <row r="815" spans="6:8" ht="12.75" x14ac:dyDescent="0.2">
      <c r="F815" s="24"/>
      <c r="H815" s="16"/>
    </row>
    <row r="816" spans="6:8" ht="12.75" x14ac:dyDescent="0.2">
      <c r="F816" s="24"/>
      <c r="H816" s="16"/>
    </row>
    <row r="817" spans="6:8" ht="12.75" x14ac:dyDescent="0.2">
      <c r="F817" s="24"/>
      <c r="H817" s="16"/>
    </row>
    <row r="818" spans="6:8" ht="12.75" x14ac:dyDescent="0.2">
      <c r="F818" s="24"/>
      <c r="H818" s="16"/>
    </row>
    <row r="819" spans="6:8" ht="12.75" x14ac:dyDescent="0.2">
      <c r="F819" s="24"/>
      <c r="H819" s="16"/>
    </row>
    <row r="820" spans="6:8" ht="12.75" x14ac:dyDescent="0.2">
      <c r="F820" s="24"/>
      <c r="H820" s="16"/>
    </row>
    <row r="821" spans="6:8" ht="12.75" x14ac:dyDescent="0.2">
      <c r="F821" s="24"/>
      <c r="H821" s="16"/>
    </row>
    <row r="822" spans="6:8" ht="12.75" x14ac:dyDescent="0.2">
      <c r="F822" s="24"/>
      <c r="H822" s="16"/>
    </row>
    <row r="823" spans="6:8" ht="12.75" x14ac:dyDescent="0.2">
      <c r="F823" s="24"/>
      <c r="H823" s="16"/>
    </row>
    <row r="824" spans="6:8" ht="12.75" x14ac:dyDescent="0.2">
      <c r="F824" s="24"/>
      <c r="H824" s="16"/>
    </row>
    <row r="825" spans="6:8" ht="12.75" x14ac:dyDescent="0.2">
      <c r="F825" s="24"/>
      <c r="H825" s="16"/>
    </row>
    <row r="826" spans="6:8" ht="12.75" x14ac:dyDescent="0.2">
      <c r="F826" s="24"/>
      <c r="H826" s="16"/>
    </row>
    <row r="827" spans="6:8" ht="12.75" x14ac:dyDescent="0.2">
      <c r="F827" s="24"/>
      <c r="H827" s="16"/>
    </row>
    <row r="828" spans="6:8" ht="12.75" x14ac:dyDescent="0.2">
      <c r="F828" s="24"/>
      <c r="H828" s="16"/>
    </row>
    <row r="829" spans="6:8" ht="12.75" x14ac:dyDescent="0.2">
      <c r="F829" s="24"/>
      <c r="H829" s="16"/>
    </row>
    <row r="830" spans="6:8" ht="12.75" x14ac:dyDescent="0.2">
      <c r="F830" s="24"/>
      <c r="H830" s="16"/>
    </row>
    <row r="831" spans="6:8" ht="12.75" x14ac:dyDescent="0.2">
      <c r="F831" s="24"/>
      <c r="H831" s="16"/>
    </row>
    <row r="832" spans="6:8" ht="12.75" x14ac:dyDescent="0.2">
      <c r="F832" s="24"/>
      <c r="H832" s="16"/>
    </row>
    <row r="833" spans="6:8" ht="12.75" x14ac:dyDescent="0.2">
      <c r="F833" s="24"/>
      <c r="H833" s="16"/>
    </row>
    <row r="834" spans="6:8" ht="12.75" x14ac:dyDescent="0.2">
      <c r="F834" s="24"/>
      <c r="H834" s="16"/>
    </row>
    <row r="835" spans="6:8" ht="12.75" x14ac:dyDescent="0.2">
      <c r="F835" s="24"/>
      <c r="H835" s="16"/>
    </row>
    <row r="836" spans="6:8" ht="12.75" x14ac:dyDescent="0.2">
      <c r="F836" s="24"/>
      <c r="H836" s="16"/>
    </row>
    <row r="837" spans="6:8" ht="12.75" x14ac:dyDescent="0.2">
      <c r="F837" s="24"/>
      <c r="H837" s="16"/>
    </row>
    <row r="838" spans="6:8" ht="12.75" x14ac:dyDescent="0.2">
      <c r="F838" s="24"/>
      <c r="H838" s="16"/>
    </row>
    <row r="839" spans="6:8" ht="12.75" x14ac:dyDescent="0.2">
      <c r="F839" s="24"/>
      <c r="H839" s="16"/>
    </row>
    <row r="840" spans="6:8" ht="12.75" x14ac:dyDescent="0.2">
      <c r="F840" s="24"/>
      <c r="H840" s="16"/>
    </row>
    <row r="841" spans="6:8" ht="12.75" x14ac:dyDescent="0.2">
      <c r="F841" s="24"/>
      <c r="H841" s="16"/>
    </row>
    <row r="842" spans="6:8" ht="12.75" x14ac:dyDescent="0.2">
      <c r="F842" s="24"/>
      <c r="H842" s="16"/>
    </row>
    <row r="843" spans="6:8" ht="12.75" x14ac:dyDescent="0.2">
      <c r="F843" s="24"/>
      <c r="H843" s="16"/>
    </row>
    <row r="844" spans="6:8" ht="12.75" x14ac:dyDescent="0.2">
      <c r="F844" s="24"/>
      <c r="H844" s="16"/>
    </row>
    <row r="845" spans="6:8" ht="12.75" x14ac:dyDescent="0.2">
      <c r="F845" s="24"/>
      <c r="H845" s="16"/>
    </row>
    <row r="846" spans="6:8" ht="12.75" x14ac:dyDescent="0.2">
      <c r="F846" s="24"/>
      <c r="H846" s="16"/>
    </row>
    <row r="847" spans="6:8" ht="12.75" x14ac:dyDescent="0.2">
      <c r="F847" s="24"/>
      <c r="H847" s="16"/>
    </row>
    <row r="848" spans="6:8" ht="12.75" x14ac:dyDescent="0.2">
      <c r="F848" s="24"/>
      <c r="H848" s="16"/>
    </row>
    <row r="849" spans="6:8" ht="12.75" x14ac:dyDescent="0.2">
      <c r="F849" s="24"/>
      <c r="H849" s="16"/>
    </row>
    <row r="850" spans="6:8" ht="12.75" x14ac:dyDescent="0.2">
      <c r="F850" s="24"/>
      <c r="H850" s="16"/>
    </row>
    <row r="851" spans="6:8" ht="12.75" x14ac:dyDescent="0.2">
      <c r="F851" s="24"/>
      <c r="H851" s="16"/>
    </row>
    <row r="852" spans="6:8" ht="12.75" x14ac:dyDescent="0.2">
      <c r="F852" s="24"/>
      <c r="H852" s="16"/>
    </row>
    <row r="853" spans="6:8" ht="12.75" x14ac:dyDescent="0.2">
      <c r="F853" s="24"/>
      <c r="H853" s="16"/>
    </row>
    <row r="854" spans="6:8" ht="12.75" x14ac:dyDescent="0.2">
      <c r="F854" s="24"/>
      <c r="H854" s="16"/>
    </row>
    <row r="855" spans="6:8" ht="12.75" x14ac:dyDescent="0.2">
      <c r="F855" s="24"/>
      <c r="H855" s="16"/>
    </row>
    <row r="856" spans="6:8" ht="12.75" x14ac:dyDescent="0.2">
      <c r="F856" s="24"/>
      <c r="H856" s="16"/>
    </row>
    <row r="857" spans="6:8" ht="12.75" x14ac:dyDescent="0.2">
      <c r="F857" s="24"/>
      <c r="H857" s="16"/>
    </row>
    <row r="858" spans="6:8" ht="12.75" x14ac:dyDescent="0.2">
      <c r="F858" s="24"/>
      <c r="H858" s="16"/>
    </row>
    <row r="859" spans="6:8" ht="12.75" x14ac:dyDescent="0.2">
      <c r="F859" s="24"/>
      <c r="H859" s="16"/>
    </row>
    <row r="860" spans="6:8" ht="12.75" x14ac:dyDescent="0.2">
      <c r="F860" s="24"/>
      <c r="H860" s="16"/>
    </row>
    <row r="861" spans="6:8" ht="12.75" x14ac:dyDescent="0.2">
      <c r="F861" s="24"/>
      <c r="H861" s="16"/>
    </row>
    <row r="862" spans="6:8" ht="12.75" x14ac:dyDescent="0.2">
      <c r="F862" s="24"/>
      <c r="H862" s="16"/>
    </row>
    <row r="863" spans="6:8" ht="12.75" x14ac:dyDescent="0.2">
      <c r="F863" s="24"/>
      <c r="H863" s="16"/>
    </row>
    <row r="864" spans="6:8" ht="12.75" x14ac:dyDescent="0.2">
      <c r="F864" s="24"/>
      <c r="H864" s="16"/>
    </row>
    <row r="865" spans="6:8" ht="12.75" x14ac:dyDescent="0.2">
      <c r="F865" s="24"/>
      <c r="H865" s="16"/>
    </row>
    <row r="866" spans="6:8" ht="12.75" x14ac:dyDescent="0.2">
      <c r="F866" s="24"/>
      <c r="H866" s="16"/>
    </row>
    <row r="867" spans="6:8" ht="12.75" x14ac:dyDescent="0.2">
      <c r="F867" s="24"/>
      <c r="H867" s="16"/>
    </row>
    <row r="868" spans="6:8" ht="12.75" x14ac:dyDescent="0.2">
      <c r="F868" s="24"/>
      <c r="H868" s="16"/>
    </row>
    <row r="869" spans="6:8" ht="12.75" x14ac:dyDescent="0.2">
      <c r="F869" s="24"/>
      <c r="H869" s="16"/>
    </row>
    <row r="870" spans="6:8" ht="12.75" x14ac:dyDescent="0.2">
      <c r="F870" s="24"/>
      <c r="H870" s="16"/>
    </row>
    <row r="871" spans="6:8" ht="12.75" x14ac:dyDescent="0.2">
      <c r="F871" s="24"/>
      <c r="H871" s="16"/>
    </row>
    <row r="872" spans="6:8" ht="12.75" x14ac:dyDescent="0.2">
      <c r="F872" s="24"/>
      <c r="H872" s="16"/>
    </row>
    <row r="873" spans="6:8" ht="12.75" x14ac:dyDescent="0.2">
      <c r="F873" s="24"/>
      <c r="H873" s="16"/>
    </row>
    <row r="874" spans="6:8" ht="12.75" x14ac:dyDescent="0.2">
      <c r="F874" s="24"/>
      <c r="H874" s="16"/>
    </row>
    <row r="875" spans="6:8" ht="12.75" x14ac:dyDescent="0.2">
      <c r="F875" s="24"/>
      <c r="H875" s="16"/>
    </row>
    <row r="876" spans="6:8" ht="12.75" x14ac:dyDescent="0.2">
      <c r="F876" s="24"/>
      <c r="H876" s="16"/>
    </row>
    <row r="877" spans="6:8" ht="12.75" x14ac:dyDescent="0.2">
      <c r="F877" s="24"/>
      <c r="H877" s="16"/>
    </row>
    <row r="878" spans="6:8" ht="12.75" x14ac:dyDescent="0.2">
      <c r="F878" s="24"/>
      <c r="H878" s="16"/>
    </row>
    <row r="879" spans="6:8" ht="12.75" x14ac:dyDescent="0.2">
      <c r="F879" s="24"/>
      <c r="H879" s="16"/>
    </row>
    <row r="880" spans="6:8" ht="12.75" x14ac:dyDescent="0.2">
      <c r="F880" s="24"/>
      <c r="H880" s="16"/>
    </row>
    <row r="881" spans="6:8" ht="12.75" x14ac:dyDescent="0.2">
      <c r="F881" s="24"/>
      <c r="H881" s="16"/>
    </row>
    <row r="882" spans="6:8" ht="12.75" x14ac:dyDescent="0.2">
      <c r="F882" s="24"/>
      <c r="H882" s="16"/>
    </row>
    <row r="883" spans="6:8" ht="12.75" x14ac:dyDescent="0.2">
      <c r="F883" s="24"/>
      <c r="H883" s="16"/>
    </row>
    <row r="884" spans="6:8" ht="12.75" x14ac:dyDescent="0.2">
      <c r="F884" s="24"/>
      <c r="H884" s="16"/>
    </row>
    <row r="885" spans="6:8" ht="12.75" x14ac:dyDescent="0.2">
      <c r="F885" s="24"/>
      <c r="H885" s="16"/>
    </row>
    <row r="886" spans="6:8" ht="12.75" x14ac:dyDescent="0.2">
      <c r="F886" s="24"/>
      <c r="H886" s="16"/>
    </row>
    <row r="887" spans="6:8" ht="12.75" x14ac:dyDescent="0.2">
      <c r="F887" s="24"/>
      <c r="H887" s="16"/>
    </row>
    <row r="888" spans="6:8" ht="12.75" x14ac:dyDescent="0.2">
      <c r="F888" s="24"/>
      <c r="H888" s="16"/>
    </row>
    <row r="889" spans="6:8" ht="12.75" x14ac:dyDescent="0.2">
      <c r="F889" s="24"/>
      <c r="H889" s="16"/>
    </row>
    <row r="890" spans="6:8" ht="12.75" x14ac:dyDescent="0.2">
      <c r="F890" s="24"/>
      <c r="H890" s="16"/>
    </row>
    <row r="891" spans="6:8" ht="12.75" x14ac:dyDescent="0.2">
      <c r="F891" s="24"/>
      <c r="H891" s="16"/>
    </row>
    <row r="892" spans="6:8" ht="12.75" x14ac:dyDescent="0.2">
      <c r="F892" s="24"/>
      <c r="H892" s="16"/>
    </row>
    <row r="893" spans="6:8" ht="12.75" x14ac:dyDescent="0.2">
      <c r="F893" s="24"/>
      <c r="H893" s="16"/>
    </row>
    <row r="894" spans="6:8" ht="12.75" x14ac:dyDescent="0.2">
      <c r="F894" s="24"/>
      <c r="H894" s="16"/>
    </row>
    <row r="895" spans="6:8" ht="12.75" x14ac:dyDescent="0.2">
      <c r="F895" s="24"/>
      <c r="H895" s="16"/>
    </row>
    <row r="896" spans="6:8" ht="12.75" x14ac:dyDescent="0.2">
      <c r="F896" s="24"/>
      <c r="H896" s="16"/>
    </row>
    <row r="897" spans="6:8" ht="12.75" x14ac:dyDescent="0.2">
      <c r="F897" s="24"/>
      <c r="H897" s="16"/>
    </row>
    <row r="898" spans="6:8" ht="12.75" x14ac:dyDescent="0.2">
      <c r="F898" s="24"/>
      <c r="H898" s="16"/>
    </row>
    <row r="899" spans="6:8" ht="12.75" x14ac:dyDescent="0.2">
      <c r="F899" s="24"/>
      <c r="H899" s="16"/>
    </row>
    <row r="900" spans="6:8" ht="12.75" x14ac:dyDescent="0.2">
      <c r="F900" s="24"/>
      <c r="H900" s="16"/>
    </row>
    <row r="901" spans="6:8" ht="12.75" x14ac:dyDescent="0.2">
      <c r="F901" s="24"/>
      <c r="H901" s="16"/>
    </row>
    <row r="902" spans="6:8" ht="12.75" x14ac:dyDescent="0.2">
      <c r="F902" s="24"/>
      <c r="H902" s="16"/>
    </row>
    <row r="903" spans="6:8" ht="12.75" x14ac:dyDescent="0.2">
      <c r="F903" s="24"/>
      <c r="H903" s="16"/>
    </row>
    <row r="904" spans="6:8" ht="12.75" x14ac:dyDescent="0.2">
      <c r="F904" s="24"/>
      <c r="H904" s="16"/>
    </row>
    <row r="905" spans="6:8" ht="12.75" x14ac:dyDescent="0.2">
      <c r="F905" s="24"/>
      <c r="H905" s="16"/>
    </row>
    <row r="906" spans="6:8" ht="12.75" x14ac:dyDescent="0.2">
      <c r="F906" s="24"/>
      <c r="H906" s="16"/>
    </row>
    <row r="907" spans="6:8" ht="12.75" x14ac:dyDescent="0.2">
      <c r="F907" s="24"/>
      <c r="H907" s="16"/>
    </row>
    <row r="908" spans="6:8" ht="12.75" x14ac:dyDescent="0.2">
      <c r="F908" s="24"/>
      <c r="H908" s="16"/>
    </row>
    <row r="909" spans="6:8" ht="12.75" x14ac:dyDescent="0.2">
      <c r="F909" s="24"/>
      <c r="H909" s="16"/>
    </row>
    <row r="910" spans="6:8" ht="12.75" x14ac:dyDescent="0.2">
      <c r="F910" s="24"/>
      <c r="H910" s="16"/>
    </row>
    <row r="911" spans="6:8" ht="12.75" x14ac:dyDescent="0.2">
      <c r="F911" s="24"/>
      <c r="H911" s="16"/>
    </row>
    <row r="912" spans="6:8" ht="12.75" x14ac:dyDescent="0.2">
      <c r="F912" s="24"/>
      <c r="H912" s="16"/>
    </row>
    <row r="913" spans="6:8" ht="12.75" x14ac:dyDescent="0.2">
      <c r="F913" s="24"/>
      <c r="H913" s="16"/>
    </row>
    <row r="914" spans="6:8" ht="12.75" x14ac:dyDescent="0.2">
      <c r="F914" s="24"/>
      <c r="H914" s="16"/>
    </row>
    <row r="915" spans="6:8" ht="12.75" x14ac:dyDescent="0.2">
      <c r="F915" s="24"/>
      <c r="H915" s="16"/>
    </row>
    <row r="916" spans="6:8" ht="12.75" x14ac:dyDescent="0.2">
      <c r="F916" s="24"/>
      <c r="H916" s="16"/>
    </row>
    <row r="917" spans="6:8" ht="12.75" x14ac:dyDescent="0.2">
      <c r="F917" s="24"/>
      <c r="H917" s="16"/>
    </row>
    <row r="918" spans="6:8" ht="12.75" x14ac:dyDescent="0.2">
      <c r="F918" s="24"/>
      <c r="H918" s="16"/>
    </row>
    <row r="919" spans="6:8" ht="12.75" x14ac:dyDescent="0.2">
      <c r="F919" s="24"/>
      <c r="H919" s="16"/>
    </row>
    <row r="920" spans="6:8" ht="12.75" x14ac:dyDescent="0.2">
      <c r="F920" s="24"/>
      <c r="H920" s="16"/>
    </row>
    <row r="921" spans="6:8" ht="12.75" x14ac:dyDescent="0.2">
      <c r="F921" s="24"/>
      <c r="H921" s="16"/>
    </row>
    <row r="922" spans="6:8" ht="12.75" x14ac:dyDescent="0.2">
      <c r="F922" s="24"/>
      <c r="H922" s="16"/>
    </row>
    <row r="923" spans="6:8" ht="12.75" x14ac:dyDescent="0.2">
      <c r="F923" s="24"/>
      <c r="H923" s="16"/>
    </row>
    <row r="924" spans="6:8" ht="12.75" x14ac:dyDescent="0.2">
      <c r="F924" s="24"/>
      <c r="H924" s="16"/>
    </row>
    <row r="925" spans="6:8" ht="12.75" x14ac:dyDescent="0.2">
      <c r="F925" s="24"/>
      <c r="H925" s="16"/>
    </row>
    <row r="926" spans="6:8" ht="12.75" x14ac:dyDescent="0.2">
      <c r="F926" s="24"/>
      <c r="H926" s="16"/>
    </row>
    <row r="927" spans="6:8" ht="12.75" x14ac:dyDescent="0.2">
      <c r="F927" s="24"/>
      <c r="H927" s="16"/>
    </row>
    <row r="928" spans="6:8" ht="12.75" x14ac:dyDescent="0.2">
      <c r="F928" s="24"/>
      <c r="H928" s="16"/>
    </row>
    <row r="929" spans="6:8" ht="12.75" x14ac:dyDescent="0.2">
      <c r="F929" s="24"/>
      <c r="H929" s="16"/>
    </row>
    <row r="930" spans="6:8" ht="12.75" x14ac:dyDescent="0.2">
      <c r="F930" s="24"/>
      <c r="H930" s="16"/>
    </row>
    <row r="931" spans="6:8" ht="12.75" x14ac:dyDescent="0.2">
      <c r="F931" s="24"/>
      <c r="H931" s="16"/>
    </row>
    <row r="932" spans="6:8" ht="12.75" x14ac:dyDescent="0.2">
      <c r="F932" s="24"/>
      <c r="H932" s="16"/>
    </row>
    <row r="933" spans="6:8" ht="12.75" x14ac:dyDescent="0.2">
      <c r="F933" s="24"/>
      <c r="H933" s="16"/>
    </row>
    <row r="934" spans="6:8" ht="12.75" x14ac:dyDescent="0.2">
      <c r="F934" s="24"/>
      <c r="H934" s="16"/>
    </row>
    <row r="935" spans="6:8" ht="12.75" x14ac:dyDescent="0.2">
      <c r="F935" s="24"/>
      <c r="H935" s="16"/>
    </row>
    <row r="936" spans="6:8" ht="12.75" x14ac:dyDescent="0.2">
      <c r="F936" s="24"/>
      <c r="H936" s="16"/>
    </row>
    <row r="937" spans="6:8" ht="12.75" x14ac:dyDescent="0.2">
      <c r="F937" s="24"/>
      <c r="H937" s="16"/>
    </row>
    <row r="938" spans="6:8" ht="12.75" x14ac:dyDescent="0.2">
      <c r="F938" s="24"/>
      <c r="H938" s="16"/>
    </row>
    <row r="939" spans="6:8" ht="12.75" x14ac:dyDescent="0.2">
      <c r="F939" s="24"/>
      <c r="H939" s="16"/>
    </row>
    <row r="940" spans="6:8" ht="12.75" x14ac:dyDescent="0.2">
      <c r="F940" s="24"/>
      <c r="H940" s="16"/>
    </row>
    <row r="941" spans="6:8" ht="12.75" x14ac:dyDescent="0.2">
      <c r="F941" s="24"/>
      <c r="H941" s="16"/>
    </row>
    <row r="942" spans="6:8" ht="12.75" x14ac:dyDescent="0.2">
      <c r="F942" s="24"/>
      <c r="H942" s="16"/>
    </row>
    <row r="943" spans="6:8" ht="12.75" x14ac:dyDescent="0.2">
      <c r="F943" s="24"/>
      <c r="H943" s="16"/>
    </row>
    <row r="944" spans="6:8" ht="12.75" x14ac:dyDescent="0.2">
      <c r="F944" s="24"/>
      <c r="H944" s="16"/>
    </row>
    <row r="945" spans="6:8" ht="12.75" x14ac:dyDescent="0.2">
      <c r="F945" s="24"/>
      <c r="H945" s="16"/>
    </row>
    <row r="946" spans="6:8" ht="12.75" x14ac:dyDescent="0.2">
      <c r="F946" s="24"/>
      <c r="H946" s="16"/>
    </row>
    <row r="947" spans="6:8" ht="12.75" x14ac:dyDescent="0.2">
      <c r="F947" s="24"/>
      <c r="H947" s="16"/>
    </row>
    <row r="948" spans="6:8" ht="12.75" x14ac:dyDescent="0.2">
      <c r="F948" s="24"/>
      <c r="H948" s="16"/>
    </row>
    <row r="949" spans="6:8" ht="12.75" x14ac:dyDescent="0.2">
      <c r="F949" s="24"/>
      <c r="H949" s="16"/>
    </row>
    <row r="950" spans="6:8" ht="12.75" x14ac:dyDescent="0.2">
      <c r="F950" s="24"/>
      <c r="H950" s="16"/>
    </row>
    <row r="951" spans="6:8" ht="12.75" x14ac:dyDescent="0.2">
      <c r="F951" s="24"/>
      <c r="H951" s="16"/>
    </row>
    <row r="952" spans="6:8" ht="12.75" x14ac:dyDescent="0.2">
      <c r="F952" s="24"/>
      <c r="H952" s="16"/>
    </row>
    <row r="953" spans="6:8" ht="12.75" x14ac:dyDescent="0.2">
      <c r="F953" s="24"/>
      <c r="H953" s="16"/>
    </row>
    <row r="954" spans="6:8" ht="12.75" x14ac:dyDescent="0.2">
      <c r="F954" s="24"/>
      <c r="H954" s="16"/>
    </row>
    <row r="955" spans="6:8" ht="12.75" x14ac:dyDescent="0.2">
      <c r="F955" s="24"/>
      <c r="H955" s="16"/>
    </row>
    <row r="956" spans="6:8" ht="12.75" x14ac:dyDescent="0.2">
      <c r="F956" s="24"/>
      <c r="H956" s="16"/>
    </row>
    <row r="957" spans="6:8" ht="12.75" x14ac:dyDescent="0.2">
      <c r="F957" s="24"/>
      <c r="H957" s="16"/>
    </row>
    <row r="958" spans="6:8" ht="12.75" x14ac:dyDescent="0.2">
      <c r="F958" s="24"/>
      <c r="H958" s="16"/>
    </row>
    <row r="959" spans="6:8" ht="12.75" x14ac:dyDescent="0.2">
      <c r="F959" s="24"/>
      <c r="H959" s="16"/>
    </row>
    <row r="960" spans="6:8" ht="12.75" x14ac:dyDescent="0.2">
      <c r="F960" s="24"/>
      <c r="H960" s="16"/>
    </row>
    <row r="961" spans="6:8" ht="12.75" x14ac:dyDescent="0.2">
      <c r="F961" s="24"/>
      <c r="H961" s="16"/>
    </row>
    <row r="962" spans="6:8" ht="12.75" x14ac:dyDescent="0.2">
      <c r="F962" s="24"/>
      <c r="H962" s="16"/>
    </row>
    <row r="963" spans="6:8" ht="12.75" x14ac:dyDescent="0.2">
      <c r="F963" s="24"/>
      <c r="H963" s="16"/>
    </row>
    <row r="964" spans="6:8" ht="12.75" x14ac:dyDescent="0.2">
      <c r="F964" s="24"/>
      <c r="H964" s="16"/>
    </row>
    <row r="965" spans="6:8" ht="12.75" x14ac:dyDescent="0.2">
      <c r="F965" s="24"/>
      <c r="H965" s="16"/>
    </row>
    <row r="966" spans="6:8" ht="12.75" x14ac:dyDescent="0.2">
      <c r="F966" s="24"/>
      <c r="H966" s="16"/>
    </row>
    <row r="967" spans="6:8" ht="12.75" x14ac:dyDescent="0.2">
      <c r="F967" s="24"/>
      <c r="H967" s="16"/>
    </row>
    <row r="968" spans="6:8" ht="12.75" x14ac:dyDescent="0.2">
      <c r="F968" s="24"/>
      <c r="H968" s="16"/>
    </row>
    <row r="969" spans="6:8" ht="12.75" x14ac:dyDescent="0.2">
      <c r="F969" s="24"/>
      <c r="H969" s="16"/>
    </row>
    <row r="970" spans="6:8" ht="12.75" x14ac:dyDescent="0.2">
      <c r="F970" s="24"/>
      <c r="H970" s="16"/>
    </row>
    <row r="971" spans="6:8" ht="12.75" x14ac:dyDescent="0.2">
      <c r="F971" s="24"/>
      <c r="H971" s="16"/>
    </row>
    <row r="972" spans="6:8" ht="12.75" x14ac:dyDescent="0.2">
      <c r="F972" s="24"/>
      <c r="H972" s="16"/>
    </row>
    <row r="973" spans="6:8" ht="12.75" x14ac:dyDescent="0.2">
      <c r="F973" s="24"/>
      <c r="H973" s="16"/>
    </row>
    <row r="974" spans="6:8" ht="12.75" x14ac:dyDescent="0.2">
      <c r="F974" s="24"/>
      <c r="H974" s="16"/>
    </row>
    <row r="975" spans="6:8" ht="12.75" x14ac:dyDescent="0.2">
      <c r="F975" s="24"/>
      <c r="H975" s="16"/>
    </row>
    <row r="976" spans="6:8" ht="12.75" x14ac:dyDescent="0.2">
      <c r="F976" s="24"/>
      <c r="H976" s="16"/>
    </row>
    <row r="977" spans="6:8" ht="12.75" x14ac:dyDescent="0.2">
      <c r="F977" s="24"/>
      <c r="H977" s="16"/>
    </row>
    <row r="978" spans="6:8" ht="12.75" x14ac:dyDescent="0.2">
      <c r="F978" s="24"/>
      <c r="H978" s="16"/>
    </row>
    <row r="979" spans="6:8" ht="12.75" x14ac:dyDescent="0.2">
      <c r="F979" s="24"/>
      <c r="H979" s="16"/>
    </row>
    <row r="980" spans="6:8" ht="12.75" x14ac:dyDescent="0.2">
      <c r="F980" s="24"/>
      <c r="H980" s="16"/>
    </row>
    <row r="981" spans="6:8" ht="12.75" x14ac:dyDescent="0.2">
      <c r="F981" s="24"/>
      <c r="H981" s="16"/>
    </row>
    <row r="982" spans="6:8" ht="12.75" x14ac:dyDescent="0.2">
      <c r="F982" s="24"/>
      <c r="H982" s="16"/>
    </row>
    <row r="983" spans="6:8" ht="12.75" x14ac:dyDescent="0.2">
      <c r="F983" s="24"/>
      <c r="H983" s="16"/>
    </row>
    <row r="984" spans="6:8" ht="12.75" x14ac:dyDescent="0.2">
      <c r="F984" s="24"/>
      <c r="H984" s="16"/>
    </row>
    <row r="985" spans="6:8" ht="12.75" x14ac:dyDescent="0.2">
      <c r="F985" s="24"/>
      <c r="H985" s="16"/>
    </row>
    <row r="986" spans="6:8" ht="12.75" x14ac:dyDescent="0.2">
      <c r="F986" s="24"/>
      <c r="H986" s="16"/>
    </row>
    <row r="987" spans="6:8" ht="12.75" x14ac:dyDescent="0.2">
      <c r="F987" s="24"/>
      <c r="H987" s="16"/>
    </row>
    <row r="988" spans="6:8" ht="12.75" x14ac:dyDescent="0.2">
      <c r="F988" s="24"/>
      <c r="H988" s="16"/>
    </row>
    <row r="989" spans="6:8" ht="12.75" x14ac:dyDescent="0.2">
      <c r="F989" s="24"/>
      <c r="H989" s="16"/>
    </row>
    <row r="990" spans="6:8" ht="12.75" x14ac:dyDescent="0.2">
      <c r="F990" s="24"/>
      <c r="H990" s="16"/>
    </row>
    <row r="991" spans="6:8" ht="12.75" x14ac:dyDescent="0.2">
      <c r="F991" s="24"/>
      <c r="H991" s="16"/>
    </row>
    <row r="992" spans="6:8" ht="12.75" x14ac:dyDescent="0.2">
      <c r="F992" s="24"/>
      <c r="H992" s="16"/>
    </row>
    <row r="993" spans="6:8" ht="12.75" x14ac:dyDescent="0.2">
      <c r="F993" s="24"/>
      <c r="H993" s="16"/>
    </row>
    <row r="994" spans="6:8" ht="12.75" x14ac:dyDescent="0.2">
      <c r="F994" s="24"/>
      <c r="H994" s="16"/>
    </row>
    <row r="995" spans="6:8" ht="12.75" x14ac:dyDescent="0.2">
      <c r="F995" s="24"/>
      <c r="H995" s="16"/>
    </row>
    <row r="996" spans="6:8" ht="12.75" x14ac:dyDescent="0.2">
      <c r="F996" s="24"/>
      <c r="H996" s="16"/>
    </row>
    <row r="997" spans="6:8" ht="12.75" x14ac:dyDescent="0.2">
      <c r="F997" s="24"/>
      <c r="H997" s="16"/>
    </row>
    <row r="998" spans="6:8" ht="12.75" x14ac:dyDescent="0.2">
      <c r="F998" s="24"/>
      <c r="H998" s="16"/>
    </row>
    <row r="999" spans="6:8" ht="12.75" x14ac:dyDescent="0.2">
      <c r="F999" s="24"/>
      <c r="H999" s="16"/>
    </row>
    <row r="1000" spans="6:8" ht="12.75" x14ac:dyDescent="0.2">
      <c r="F1000" s="24"/>
      <c r="H1000" s="16"/>
    </row>
  </sheetData>
  <sortState xmlns:xlrd2="http://schemas.microsoft.com/office/spreadsheetml/2017/richdata2" ref="A11:A90">
    <sortCondition ref="A11:A90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DD6F-DB70-4BF0-AA3E-44CBB0033A1B}">
  <sheetPr codeName="Arkusz2"/>
  <dimension ref="B1:J84"/>
  <sheetViews>
    <sheetView topLeftCell="A46" zoomScale="80" zoomScaleNormal="80" workbookViewId="0">
      <selection activeCell="B1" sqref="B1:J82"/>
    </sheetView>
  </sheetViews>
  <sheetFormatPr defaultRowHeight="12.75" x14ac:dyDescent="0.2"/>
  <cols>
    <col min="1" max="1" width="5.5703125" customWidth="1"/>
    <col min="2" max="2" width="16.42578125" bestFit="1" customWidth="1"/>
    <col min="3" max="4" width="18.42578125" bestFit="1" customWidth="1"/>
    <col min="5" max="9" width="19.140625" bestFit="1" customWidth="1"/>
    <col min="10" max="10" width="18.42578125" bestFit="1" customWidth="1"/>
    <col min="11" max="11" width="11" bestFit="1" customWidth="1"/>
    <col min="12" max="12" width="10" bestFit="1" customWidth="1"/>
    <col min="13" max="17" width="11" bestFit="1" customWidth="1"/>
    <col min="18" max="61" width="12" bestFit="1" customWidth="1"/>
    <col min="62" max="62" width="11" bestFit="1" customWidth="1"/>
    <col min="63" max="71" width="12" bestFit="1" customWidth="1"/>
    <col min="72" max="72" width="11" bestFit="1" customWidth="1"/>
    <col min="73" max="81" width="12" bestFit="1" customWidth="1"/>
    <col min="82" max="82" width="11" bestFit="1" customWidth="1"/>
    <col min="83" max="91" width="12" bestFit="1" customWidth="1"/>
    <col min="92" max="92" width="11" bestFit="1" customWidth="1"/>
    <col min="93" max="98" width="12" bestFit="1" customWidth="1"/>
    <col min="99" max="99" width="11" bestFit="1" customWidth="1"/>
    <col min="100" max="107" width="12" bestFit="1" customWidth="1"/>
    <col min="108" max="108" width="11" bestFit="1" customWidth="1"/>
    <col min="109" max="123" width="12" bestFit="1" customWidth="1"/>
    <col min="124" max="124" width="11" bestFit="1" customWidth="1"/>
    <col min="125" max="169" width="12" bestFit="1" customWidth="1"/>
    <col min="170" max="170" width="11" bestFit="1" customWidth="1"/>
    <col min="171" max="182" width="12" bestFit="1" customWidth="1"/>
    <col min="183" max="183" width="11" bestFit="1" customWidth="1"/>
    <col min="184" max="188" width="12" bestFit="1" customWidth="1"/>
    <col min="189" max="189" width="11" bestFit="1" customWidth="1"/>
    <col min="190" max="211" width="12" bestFit="1" customWidth="1"/>
    <col min="212" max="212" width="11" bestFit="1" customWidth="1"/>
    <col min="213" max="222" width="12" bestFit="1" customWidth="1"/>
    <col min="223" max="224" width="11" bestFit="1" customWidth="1"/>
    <col min="225" max="234" width="12" bestFit="1" customWidth="1"/>
    <col min="235" max="235" width="11" bestFit="1" customWidth="1"/>
    <col min="236" max="251" width="12" bestFit="1" customWidth="1"/>
    <col min="252" max="252" width="11" bestFit="1" customWidth="1"/>
    <col min="253" max="258" width="12" bestFit="1" customWidth="1"/>
    <col min="259" max="259" width="11" bestFit="1" customWidth="1"/>
    <col min="260" max="265" width="12" bestFit="1" customWidth="1"/>
    <col min="266" max="266" width="11" bestFit="1" customWidth="1"/>
    <col min="267" max="272" width="12" bestFit="1" customWidth="1"/>
    <col min="273" max="273" width="11" bestFit="1" customWidth="1"/>
    <col min="274" max="279" width="12" bestFit="1" customWidth="1"/>
    <col min="280" max="280" width="11" bestFit="1" customWidth="1"/>
    <col min="281" max="311" width="12" bestFit="1" customWidth="1"/>
    <col min="312" max="312" width="10" bestFit="1" customWidth="1"/>
    <col min="313" max="318" width="11" bestFit="1" customWidth="1"/>
    <col min="319" max="331" width="12" bestFit="1" customWidth="1"/>
    <col min="332" max="332" width="11" bestFit="1" customWidth="1"/>
    <col min="333" max="334" width="12" bestFit="1" customWidth="1"/>
    <col min="335" max="335" width="11" bestFit="1" customWidth="1"/>
    <col min="336" max="337" width="12" bestFit="1" customWidth="1"/>
    <col min="338" max="338" width="11" bestFit="1" customWidth="1"/>
    <col min="339" max="370" width="12" bestFit="1" customWidth="1"/>
    <col min="371" max="372" width="11" bestFit="1" customWidth="1"/>
    <col min="373" max="385" width="12" bestFit="1" customWidth="1"/>
    <col min="386" max="387" width="11" bestFit="1" customWidth="1"/>
    <col min="388" max="400" width="12" bestFit="1" customWidth="1"/>
    <col min="401" max="402" width="11" bestFit="1" customWidth="1"/>
    <col min="403" max="407" width="12" bestFit="1" customWidth="1"/>
    <col min="408" max="409" width="11" bestFit="1" customWidth="1"/>
    <col min="410" max="416" width="12" bestFit="1" customWidth="1"/>
    <col min="417" max="417" width="11" bestFit="1" customWidth="1"/>
    <col min="418" max="426" width="12" bestFit="1" customWidth="1"/>
    <col min="427" max="427" width="11" bestFit="1" customWidth="1"/>
    <col min="428" max="443" width="12" bestFit="1" customWidth="1"/>
    <col min="444" max="444" width="11" bestFit="1" customWidth="1"/>
    <col min="445" max="448" width="12" bestFit="1" customWidth="1"/>
    <col min="449" max="449" width="11" bestFit="1" customWidth="1"/>
    <col min="450" max="464" width="12" bestFit="1" customWidth="1"/>
    <col min="465" max="465" width="11" bestFit="1" customWidth="1"/>
    <col min="466" max="469" width="12" bestFit="1" customWidth="1"/>
    <col min="470" max="470" width="11" bestFit="1" customWidth="1"/>
    <col min="471" max="485" width="12" bestFit="1" customWidth="1"/>
    <col min="486" max="486" width="6" bestFit="1" customWidth="1"/>
    <col min="487" max="504" width="12" bestFit="1" customWidth="1"/>
    <col min="505" max="505" width="6" bestFit="1" customWidth="1"/>
    <col min="506" max="521" width="12" bestFit="1" customWidth="1"/>
    <col min="522" max="522" width="6" bestFit="1" customWidth="1"/>
    <col min="523" max="538" width="12" bestFit="1" customWidth="1"/>
    <col min="539" max="539" width="7" bestFit="1" customWidth="1"/>
    <col min="540" max="555" width="12" bestFit="1" customWidth="1"/>
    <col min="556" max="556" width="6" bestFit="1" customWidth="1"/>
    <col min="557" max="571" width="12" bestFit="1" customWidth="1"/>
    <col min="572" max="572" width="11" bestFit="1" customWidth="1"/>
    <col min="573" max="592" width="12" bestFit="1" customWidth="1"/>
    <col min="593" max="593" width="11" bestFit="1" customWidth="1"/>
    <col min="594" max="598" width="12" bestFit="1" customWidth="1"/>
    <col min="599" max="599" width="11" bestFit="1" customWidth="1"/>
    <col min="600" max="649" width="12" bestFit="1" customWidth="1"/>
    <col min="650" max="657" width="19.7109375" bestFit="1" customWidth="1"/>
  </cols>
  <sheetData>
    <row r="1" spans="2:10" x14ac:dyDescent="0.2">
      <c r="C1" s="27" t="s">
        <v>18</v>
      </c>
    </row>
    <row r="2" spans="2:10" x14ac:dyDescent="0.2">
      <c r="B2" s="27" t="s">
        <v>17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2:10" x14ac:dyDescent="0.2">
      <c r="B3" s="29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</row>
    <row r="4" spans="2:10" x14ac:dyDescent="0.2">
      <c r="B4" s="29">
        <v>100</v>
      </c>
      <c r="C4" s="28">
        <v>1.7829652996845426</v>
      </c>
      <c r="D4" s="28">
        <v>2.0856088560885611</v>
      </c>
      <c r="E4" s="28">
        <v>2.3747899159663866</v>
      </c>
      <c r="F4" s="28">
        <v>2.6786729857819909</v>
      </c>
      <c r="G4" s="28">
        <v>3.1226519337016576</v>
      </c>
      <c r="H4" s="28">
        <v>3.5772151898734177</v>
      </c>
      <c r="I4" s="28">
        <v>4.1558823529411759</v>
      </c>
      <c r="J4" s="28">
        <v>4.7495798319327731</v>
      </c>
    </row>
    <row r="5" spans="2:10" x14ac:dyDescent="0.2">
      <c r="B5" s="29">
        <v>200</v>
      </c>
      <c r="C5" s="28">
        <v>3.5659305993690853</v>
      </c>
      <c r="D5" s="28">
        <v>4.1712177121771221</v>
      </c>
      <c r="E5" s="28">
        <v>4.7495798319327731</v>
      </c>
      <c r="F5" s="28">
        <v>5.3573459715639817</v>
      </c>
      <c r="G5" s="28">
        <v>6.2453038674033152</v>
      </c>
      <c r="H5" s="28">
        <v>7.1544303797468354</v>
      </c>
      <c r="I5" s="28">
        <v>8.3117647058823518</v>
      </c>
      <c r="J5" s="28">
        <v>9.4991596638655462</v>
      </c>
    </row>
    <row r="6" spans="2:10" x14ac:dyDescent="0.2">
      <c r="B6" s="29">
        <v>300</v>
      </c>
      <c r="C6" s="28">
        <v>5.3488958990536277</v>
      </c>
      <c r="D6" s="28">
        <v>6.2568265682656827</v>
      </c>
      <c r="E6" s="28">
        <v>7.1243697478991601</v>
      </c>
      <c r="F6" s="28">
        <v>8.0360189573459717</v>
      </c>
      <c r="G6" s="28">
        <v>9.3679558011049711</v>
      </c>
      <c r="H6" s="28">
        <v>10.731645569620252</v>
      </c>
      <c r="I6" s="28">
        <v>12.467647058823529</v>
      </c>
      <c r="J6" s="28">
        <v>14.24873949579832</v>
      </c>
    </row>
    <row r="7" spans="2:10" x14ac:dyDescent="0.2">
      <c r="B7" s="29">
        <v>400</v>
      </c>
      <c r="C7" s="28">
        <v>7.1318611987381706</v>
      </c>
      <c r="D7" s="28">
        <v>8.3424354243542442</v>
      </c>
      <c r="E7" s="28">
        <v>9.4991596638655462</v>
      </c>
      <c r="F7" s="28">
        <v>10.714691943127963</v>
      </c>
      <c r="G7" s="28">
        <v>12.49060773480663</v>
      </c>
      <c r="H7" s="28">
        <v>14.308860759493671</v>
      </c>
      <c r="I7" s="28">
        <v>16.623529411764704</v>
      </c>
      <c r="J7" s="28">
        <v>18.998319327731092</v>
      </c>
    </row>
    <row r="8" spans="2:10" x14ac:dyDescent="0.2">
      <c r="B8" s="29">
        <v>500</v>
      </c>
      <c r="C8" s="28">
        <v>8.9148264984227144</v>
      </c>
      <c r="D8" s="28">
        <v>10.428044280442807</v>
      </c>
      <c r="E8" s="28">
        <v>11.873949579831935</v>
      </c>
      <c r="F8" s="28">
        <v>13.393364928909955</v>
      </c>
      <c r="G8" s="28">
        <v>15.61325966850829</v>
      </c>
      <c r="H8" s="28">
        <v>17.88607594936709</v>
      </c>
      <c r="I8" s="28">
        <v>20.779411764705884</v>
      </c>
      <c r="J8" s="28">
        <v>23.74789915966387</v>
      </c>
    </row>
    <row r="9" spans="2:10" x14ac:dyDescent="0.2">
      <c r="B9" s="29">
        <v>600</v>
      </c>
      <c r="C9" s="28">
        <v>10.697791798107255</v>
      </c>
      <c r="D9" s="28">
        <v>12.513653136531365</v>
      </c>
      <c r="E9" s="28">
        <v>14.24873949579832</v>
      </c>
      <c r="F9" s="28">
        <v>16.072037914691943</v>
      </c>
      <c r="G9" s="28">
        <v>18.735911602209942</v>
      </c>
      <c r="H9" s="28">
        <v>21.463291139240503</v>
      </c>
      <c r="I9" s="28">
        <v>24.935294117647057</v>
      </c>
      <c r="J9" s="28">
        <v>28.49747899159664</v>
      </c>
    </row>
    <row r="10" spans="2:10" x14ac:dyDescent="0.2">
      <c r="B10" s="29">
        <v>700</v>
      </c>
      <c r="C10" s="28">
        <v>12.480757097791798</v>
      </c>
      <c r="D10" s="28">
        <v>14.599261992619926</v>
      </c>
      <c r="E10" s="28">
        <v>16.623529411764707</v>
      </c>
      <c r="F10" s="28">
        <v>18.750710900473933</v>
      </c>
      <c r="G10" s="28">
        <v>21.858563535911603</v>
      </c>
      <c r="H10" s="28">
        <v>25.040506329113924</v>
      </c>
      <c r="I10" s="28">
        <v>29.091176470588234</v>
      </c>
      <c r="J10" s="28">
        <v>33.247058823529414</v>
      </c>
    </row>
    <row r="11" spans="2:10" x14ac:dyDescent="0.2">
      <c r="B11" s="29">
        <v>800</v>
      </c>
      <c r="C11" s="28">
        <v>14.263722397476341</v>
      </c>
      <c r="D11" s="28">
        <v>16.684870848708488</v>
      </c>
      <c r="E11" s="28">
        <v>18.998319327731092</v>
      </c>
      <c r="F11" s="28">
        <v>21.429383886255927</v>
      </c>
      <c r="G11" s="28">
        <v>24.981215469613261</v>
      </c>
      <c r="H11" s="28">
        <v>28.617721518987342</v>
      </c>
      <c r="I11" s="28">
        <v>33.247058823529407</v>
      </c>
      <c r="J11" s="28">
        <v>37.996638655462185</v>
      </c>
    </row>
    <row r="12" spans="2:10" x14ac:dyDescent="0.2">
      <c r="B12" s="29">
        <v>900</v>
      </c>
      <c r="C12" s="28">
        <v>16.046687697160884</v>
      </c>
      <c r="D12" s="28">
        <v>18.770479704797047</v>
      </c>
      <c r="E12" s="28">
        <v>21.373109243697481</v>
      </c>
      <c r="F12" s="28">
        <v>24.108056872037917</v>
      </c>
      <c r="G12" s="28">
        <v>28.103867403314919</v>
      </c>
      <c r="H12" s="28">
        <v>32.194936708860759</v>
      </c>
      <c r="I12" s="28">
        <v>37.402941176470584</v>
      </c>
      <c r="J12" s="28">
        <v>42.746218487394962</v>
      </c>
    </row>
    <row r="13" spans="2:10" x14ac:dyDescent="0.2">
      <c r="B13" s="29">
        <v>1000</v>
      </c>
      <c r="C13" s="28">
        <v>17.829652996845429</v>
      </c>
      <c r="D13" s="28">
        <v>20.856088560885613</v>
      </c>
      <c r="E13" s="28">
        <v>23.74789915966387</v>
      </c>
      <c r="F13" s="28">
        <v>26.78672985781991</v>
      </c>
      <c r="G13" s="28">
        <v>31.22651933701658</v>
      </c>
      <c r="H13" s="28">
        <v>35.77215189873418</v>
      </c>
      <c r="I13" s="28">
        <v>41.558823529411768</v>
      </c>
      <c r="J13" s="28">
        <v>47.49579831932774</v>
      </c>
    </row>
    <row r="14" spans="2:10" x14ac:dyDescent="0.2">
      <c r="B14" s="29">
        <v>1100</v>
      </c>
      <c r="C14" s="28">
        <v>19.612618296529966</v>
      </c>
      <c r="D14" s="28">
        <v>22.941697416974169</v>
      </c>
      <c r="E14" s="28">
        <v>26.122689075630252</v>
      </c>
      <c r="F14" s="28">
        <v>29.465402843601897</v>
      </c>
      <c r="G14" s="28">
        <v>34.34917127071823</v>
      </c>
      <c r="H14" s="28">
        <v>39.349367088607593</v>
      </c>
      <c r="I14" s="28">
        <v>45.714705882352938</v>
      </c>
      <c r="J14" s="28">
        <v>52.245378151260503</v>
      </c>
    </row>
    <row r="15" spans="2:10" x14ac:dyDescent="0.2">
      <c r="B15" s="29">
        <v>1200</v>
      </c>
      <c r="C15" s="28">
        <v>21.395583596214511</v>
      </c>
      <c r="D15" s="28">
        <v>25.027306273062731</v>
      </c>
      <c r="E15" s="28">
        <v>28.49747899159664</v>
      </c>
      <c r="F15" s="28">
        <v>32.144075829383887</v>
      </c>
      <c r="G15" s="28">
        <v>37.471823204419884</v>
      </c>
      <c r="H15" s="28">
        <v>42.926582278481007</v>
      </c>
      <c r="I15" s="28">
        <v>49.870588235294115</v>
      </c>
      <c r="J15" s="28">
        <v>56.994957983193281</v>
      </c>
    </row>
    <row r="16" spans="2:10" x14ac:dyDescent="0.2">
      <c r="B16" s="29">
        <v>1300</v>
      </c>
      <c r="C16" s="28">
        <v>23.178548895899059</v>
      </c>
      <c r="D16" s="28">
        <v>27.112915129151297</v>
      </c>
      <c r="E16" s="28">
        <v>30.872268907563033</v>
      </c>
      <c r="F16" s="28">
        <v>34.822748815165887</v>
      </c>
      <c r="G16" s="28">
        <v>40.594475138121553</v>
      </c>
      <c r="H16" s="28">
        <v>46.503797468354435</v>
      </c>
      <c r="I16" s="28">
        <v>54.026470588235298</v>
      </c>
      <c r="J16" s="28">
        <v>61.744537815126066</v>
      </c>
    </row>
    <row r="17" spans="2:10" x14ac:dyDescent="0.2">
      <c r="B17" s="29">
        <v>1400</v>
      </c>
      <c r="C17" s="28">
        <v>24.961514195583597</v>
      </c>
      <c r="D17" s="28">
        <v>29.198523985239852</v>
      </c>
      <c r="E17" s="28">
        <v>33.247058823529414</v>
      </c>
      <c r="F17" s="28">
        <v>37.501421800947867</v>
      </c>
      <c r="G17" s="28">
        <v>43.717127071823207</v>
      </c>
      <c r="H17" s="28">
        <v>50.081012658227849</v>
      </c>
      <c r="I17" s="28">
        <v>58.182352941176468</v>
      </c>
      <c r="J17" s="28">
        <v>66.494117647058829</v>
      </c>
    </row>
    <row r="18" spans="2:10" x14ac:dyDescent="0.2">
      <c r="B18" s="29">
        <v>1500</v>
      </c>
      <c r="C18" s="28">
        <v>26.744479495268141</v>
      </c>
      <c r="D18" s="28">
        <v>31.284132841328415</v>
      </c>
      <c r="E18" s="28">
        <v>35.621848739495803</v>
      </c>
      <c r="F18" s="28">
        <v>40.18009478672986</v>
      </c>
      <c r="G18" s="28">
        <v>46.839779005524861</v>
      </c>
      <c r="H18" s="28">
        <v>53.658227848101262</v>
      </c>
      <c r="I18" s="28">
        <v>62.338235294117645</v>
      </c>
      <c r="J18" s="28">
        <v>71.243697478991606</v>
      </c>
    </row>
    <row r="19" spans="2:10" x14ac:dyDescent="0.2">
      <c r="B19" s="29">
        <v>1600</v>
      </c>
      <c r="C19" s="28">
        <v>28.527444794952682</v>
      </c>
      <c r="D19" s="28">
        <v>33.369741697416977</v>
      </c>
      <c r="E19" s="28">
        <v>37.996638655462185</v>
      </c>
      <c r="F19" s="28">
        <v>42.858767772511854</v>
      </c>
      <c r="G19" s="28">
        <v>49.962430939226522</v>
      </c>
      <c r="H19" s="28">
        <v>57.235443037974683</v>
      </c>
      <c r="I19" s="28">
        <v>66.494117647058815</v>
      </c>
      <c r="J19" s="28">
        <v>75.99327731092437</v>
      </c>
    </row>
    <row r="20" spans="2:10" x14ac:dyDescent="0.2">
      <c r="B20" s="29">
        <v>1700</v>
      </c>
      <c r="C20" s="28">
        <v>30.310410094637227</v>
      </c>
      <c r="D20" s="28">
        <v>35.455350553505539</v>
      </c>
      <c r="E20" s="28">
        <v>40.371428571428574</v>
      </c>
      <c r="F20" s="28">
        <v>45.53744075829384</v>
      </c>
      <c r="G20" s="28">
        <v>53.085082872928176</v>
      </c>
      <c r="H20" s="28">
        <v>60.812658227848104</v>
      </c>
      <c r="I20" s="28">
        <v>70.649999999999991</v>
      </c>
      <c r="J20" s="28">
        <v>80.742857142857147</v>
      </c>
    </row>
    <row r="21" spans="2:10" x14ac:dyDescent="0.2">
      <c r="B21" s="29">
        <v>1800</v>
      </c>
      <c r="C21" s="28">
        <v>32.093375394321768</v>
      </c>
      <c r="D21" s="28">
        <v>37.540959409594095</v>
      </c>
      <c r="E21" s="28">
        <v>42.746218487394962</v>
      </c>
      <c r="F21" s="28">
        <v>48.216113744075834</v>
      </c>
      <c r="G21" s="28">
        <v>56.207734806629837</v>
      </c>
      <c r="H21" s="28">
        <v>64.389873417721518</v>
      </c>
      <c r="I21" s="28">
        <v>74.805882352941168</v>
      </c>
      <c r="J21" s="28">
        <v>85.492436974789925</v>
      </c>
    </row>
    <row r="22" spans="2:10" x14ac:dyDescent="0.2">
      <c r="B22" s="29">
        <v>1900</v>
      </c>
      <c r="C22" s="28">
        <v>33.876340694006309</v>
      </c>
      <c r="D22" s="28">
        <v>39.626568265682657</v>
      </c>
      <c r="E22" s="28">
        <v>45.121008403361351</v>
      </c>
      <c r="F22" s="28">
        <v>50.894786729857827</v>
      </c>
      <c r="G22" s="28">
        <v>59.330386740331491</v>
      </c>
      <c r="H22" s="28">
        <v>67.967088607594931</v>
      </c>
      <c r="I22" s="28">
        <v>78.961764705882345</v>
      </c>
      <c r="J22" s="28">
        <v>90.242016806722702</v>
      </c>
    </row>
    <row r="23" spans="2:10" x14ac:dyDescent="0.2">
      <c r="B23" s="29">
        <v>2000</v>
      </c>
      <c r="C23" s="28">
        <v>35.659305993690857</v>
      </c>
      <c r="D23" s="28">
        <v>41.712177121771226</v>
      </c>
      <c r="E23" s="28">
        <v>47.49579831932774</v>
      </c>
      <c r="F23" s="28">
        <v>53.573459715639821</v>
      </c>
      <c r="G23" s="28">
        <v>62.453038674033159</v>
      </c>
      <c r="H23" s="28">
        <v>71.544303797468359</v>
      </c>
      <c r="I23" s="28">
        <v>83.117647058823536</v>
      </c>
      <c r="J23" s="28">
        <v>94.99159663865548</v>
      </c>
    </row>
    <row r="24" spans="2:10" x14ac:dyDescent="0.2">
      <c r="B24" s="29">
        <v>2100</v>
      </c>
      <c r="C24" s="28">
        <v>37.442271293375391</v>
      </c>
      <c r="D24" s="28">
        <v>43.797785977859775</v>
      </c>
      <c r="E24" s="28">
        <v>49.870588235294115</v>
      </c>
      <c r="F24" s="28">
        <v>56.2521327014218</v>
      </c>
      <c r="G24" s="28">
        <v>65.575690607734799</v>
      </c>
      <c r="H24" s="28">
        <v>75.121518987341759</v>
      </c>
      <c r="I24" s="28">
        <v>87.273529411764699</v>
      </c>
      <c r="J24" s="28">
        <v>99.741176470588229</v>
      </c>
    </row>
    <row r="25" spans="2:10" x14ac:dyDescent="0.2">
      <c r="B25" s="29">
        <v>2200</v>
      </c>
      <c r="C25" s="28">
        <v>39.225236593059932</v>
      </c>
      <c r="D25" s="28">
        <v>45.883394833948337</v>
      </c>
      <c r="E25" s="28">
        <v>52.245378151260503</v>
      </c>
      <c r="F25" s="28">
        <v>58.930805687203794</v>
      </c>
      <c r="G25" s="28">
        <v>68.69834254143646</v>
      </c>
      <c r="H25" s="28">
        <v>78.698734177215186</v>
      </c>
      <c r="I25" s="28">
        <v>91.429411764705875</v>
      </c>
      <c r="J25" s="28">
        <v>104.49075630252101</v>
      </c>
    </row>
    <row r="26" spans="2:10" x14ac:dyDescent="0.2">
      <c r="B26" s="29">
        <v>2300</v>
      </c>
      <c r="C26" s="28">
        <v>41.008201892744495</v>
      </c>
      <c r="D26" s="28">
        <v>47.969003690036914</v>
      </c>
      <c r="E26" s="28">
        <v>54.620168067226906</v>
      </c>
      <c r="F26" s="28">
        <v>61.609478672985801</v>
      </c>
      <c r="G26" s="28">
        <v>71.820994475138136</v>
      </c>
      <c r="H26" s="28">
        <v>82.275949367088629</v>
      </c>
      <c r="I26" s="28">
        <v>95.585294117647081</v>
      </c>
      <c r="J26" s="28">
        <v>109.24033613445381</v>
      </c>
    </row>
    <row r="27" spans="2:10" x14ac:dyDescent="0.2">
      <c r="B27" s="29">
        <v>2400</v>
      </c>
      <c r="C27" s="28">
        <v>42.791167192429022</v>
      </c>
      <c r="D27" s="28">
        <v>50.054612546125462</v>
      </c>
      <c r="E27" s="28">
        <v>56.994957983193281</v>
      </c>
      <c r="F27" s="28">
        <v>64.288151658767774</v>
      </c>
      <c r="G27" s="28">
        <v>74.943646408839768</v>
      </c>
      <c r="H27" s="28">
        <v>85.853164556962014</v>
      </c>
      <c r="I27" s="28">
        <v>99.741176470588229</v>
      </c>
      <c r="J27" s="28">
        <v>113.98991596638656</v>
      </c>
    </row>
    <row r="28" spans="2:10" x14ac:dyDescent="0.2">
      <c r="B28" s="29">
        <v>2500</v>
      </c>
      <c r="C28" s="28">
        <v>44.57413249211357</v>
      </c>
      <c r="D28" s="28">
        <v>52.140221402214024</v>
      </c>
      <c r="E28" s="28">
        <v>59.36974789915967</v>
      </c>
      <c r="F28" s="28">
        <v>66.966824644549774</v>
      </c>
      <c r="G28" s="28">
        <v>78.066298342541444</v>
      </c>
      <c r="H28" s="28">
        <v>89.430379746835442</v>
      </c>
      <c r="I28" s="28">
        <v>103.89705882352941</v>
      </c>
      <c r="J28" s="28">
        <v>118.73949579831934</v>
      </c>
    </row>
    <row r="29" spans="2:10" x14ac:dyDescent="0.2">
      <c r="B29" s="29">
        <v>2600</v>
      </c>
      <c r="C29" s="28">
        <v>46.357097791798118</v>
      </c>
      <c r="D29" s="28">
        <v>54.225830258302594</v>
      </c>
      <c r="E29" s="28">
        <v>61.744537815126066</v>
      </c>
      <c r="F29" s="28">
        <v>69.645497630331775</v>
      </c>
      <c r="G29" s="28">
        <v>81.188950276243105</v>
      </c>
      <c r="H29" s="28">
        <v>93.00759493670887</v>
      </c>
      <c r="I29" s="28">
        <v>108.0529411764706</v>
      </c>
      <c r="J29" s="28">
        <v>123.48907563025213</v>
      </c>
    </row>
    <row r="30" spans="2:10" x14ac:dyDescent="0.2">
      <c r="B30" s="29">
        <v>2700</v>
      </c>
      <c r="C30" s="28">
        <v>48.140063091482652</v>
      </c>
      <c r="D30" s="28">
        <v>56.311439114391149</v>
      </c>
      <c r="E30" s="28">
        <v>64.11932773109244</v>
      </c>
      <c r="F30" s="28">
        <v>72.324170616113761</v>
      </c>
      <c r="G30" s="28">
        <v>84.311602209944752</v>
      </c>
      <c r="H30" s="28">
        <v>96.584810126582283</v>
      </c>
      <c r="I30" s="28">
        <v>112.20882352941176</v>
      </c>
      <c r="J30" s="28">
        <v>128.23865546218488</v>
      </c>
    </row>
    <row r="31" spans="2:10" x14ac:dyDescent="0.2">
      <c r="B31" s="29">
        <v>2800</v>
      </c>
      <c r="C31" s="28">
        <v>49.923028391167193</v>
      </c>
      <c r="D31" s="28">
        <v>58.397047970479704</v>
      </c>
      <c r="E31" s="28">
        <v>66.494117647058829</v>
      </c>
      <c r="F31" s="28">
        <v>75.002843601895734</v>
      </c>
      <c r="G31" s="28">
        <v>87.434254143646413</v>
      </c>
      <c r="H31" s="28">
        <v>100.1620253164557</v>
      </c>
      <c r="I31" s="28">
        <v>116.36470588235294</v>
      </c>
      <c r="J31" s="28">
        <v>132.98823529411766</v>
      </c>
    </row>
    <row r="32" spans="2:10" x14ac:dyDescent="0.2">
      <c r="B32" s="29">
        <v>2900</v>
      </c>
      <c r="C32" s="28">
        <v>51.705993690851749</v>
      </c>
      <c r="D32" s="28">
        <v>60.482656826568281</v>
      </c>
      <c r="E32" s="28">
        <v>68.868907563025232</v>
      </c>
      <c r="F32" s="28">
        <v>77.681516587677748</v>
      </c>
      <c r="G32" s="28">
        <v>90.556906077348089</v>
      </c>
      <c r="H32" s="28">
        <v>103.73924050632914</v>
      </c>
      <c r="I32" s="28">
        <v>120.52058823529414</v>
      </c>
      <c r="J32" s="28">
        <v>137.73781512605046</v>
      </c>
    </row>
    <row r="33" spans="2:10" x14ac:dyDescent="0.2">
      <c r="B33" s="29">
        <v>3000</v>
      </c>
      <c r="C33" s="28">
        <v>53.488958990536283</v>
      </c>
      <c r="D33" s="28">
        <v>62.568265682656829</v>
      </c>
      <c r="E33" s="28">
        <v>71.243697478991606</v>
      </c>
      <c r="F33" s="28">
        <v>80.360189573459721</v>
      </c>
      <c r="G33" s="28">
        <v>93.679558011049721</v>
      </c>
      <c r="H33" s="28">
        <v>107.31645569620252</v>
      </c>
      <c r="I33" s="28">
        <v>124.67647058823529</v>
      </c>
      <c r="J33" s="28">
        <v>142.48739495798321</v>
      </c>
    </row>
    <row r="34" spans="2:10" x14ac:dyDescent="0.2">
      <c r="B34" s="29">
        <v>3100</v>
      </c>
      <c r="C34" s="28">
        <v>55.271924290220824</v>
      </c>
      <c r="D34" s="28">
        <v>64.653874538745399</v>
      </c>
      <c r="E34" s="28">
        <v>73.618487394957995</v>
      </c>
      <c r="F34" s="28">
        <v>83.038862559241721</v>
      </c>
      <c r="G34" s="28">
        <v>96.802209944751382</v>
      </c>
      <c r="H34" s="28">
        <v>110.89367088607595</v>
      </c>
      <c r="I34" s="28">
        <v>128.83235294117648</v>
      </c>
      <c r="J34" s="28">
        <v>147.23697478991599</v>
      </c>
    </row>
    <row r="35" spans="2:10" x14ac:dyDescent="0.2">
      <c r="B35" s="29">
        <v>3200</v>
      </c>
      <c r="C35" s="28">
        <v>57.054889589905365</v>
      </c>
      <c r="D35" s="28">
        <v>66.739483394833954</v>
      </c>
      <c r="E35" s="28">
        <v>75.99327731092437</v>
      </c>
      <c r="F35" s="28">
        <v>85.717535545023708</v>
      </c>
      <c r="G35" s="28">
        <v>99.924861878453044</v>
      </c>
      <c r="H35" s="28">
        <v>114.47088607594937</v>
      </c>
      <c r="I35" s="28">
        <v>132.98823529411763</v>
      </c>
      <c r="J35" s="28">
        <v>151.98655462184874</v>
      </c>
    </row>
    <row r="36" spans="2:10" x14ac:dyDescent="0.2">
      <c r="B36" s="29">
        <v>3300</v>
      </c>
      <c r="C36" s="28">
        <v>58.837854889589913</v>
      </c>
      <c r="D36" s="28">
        <v>68.825092250922523</v>
      </c>
      <c r="E36" s="28">
        <v>78.368067226890773</v>
      </c>
      <c r="F36" s="28">
        <v>88.396208530805708</v>
      </c>
      <c r="G36" s="28">
        <v>103.0475138121547</v>
      </c>
      <c r="H36" s="28">
        <v>118.04810126582279</v>
      </c>
      <c r="I36" s="28">
        <v>137.14411764705883</v>
      </c>
      <c r="J36" s="28">
        <v>156.73613445378155</v>
      </c>
    </row>
    <row r="37" spans="2:10" x14ac:dyDescent="0.2">
      <c r="B37" s="29">
        <v>3400</v>
      </c>
      <c r="C37" s="28">
        <v>60.620820189274454</v>
      </c>
      <c r="D37" s="28">
        <v>70.910701107011079</v>
      </c>
      <c r="E37" s="28">
        <v>80.742857142857147</v>
      </c>
      <c r="F37" s="28">
        <v>91.074881516587681</v>
      </c>
      <c r="G37" s="28">
        <v>106.17016574585635</v>
      </c>
      <c r="H37" s="28">
        <v>121.62531645569621</v>
      </c>
      <c r="I37" s="28">
        <v>141.29999999999998</v>
      </c>
      <c r="J37" s="28">
        <v>161.48571428571429</v>
      </c>
    </row>
    <row r="38" spans="2:10" x14ac:dyDescent="0.2">
      <c r="B38" s="29">
        <v>3500</v>
      </c>
      <c r="C38" s="28">
        <v>62.403785488959002</v>
      </c>
      <c r="D38" s="28">
        <v>72.996309963099634</v>
      </c>
      <c r="E38" s="28">
        <v>83.117647058823536</v>
      </c>
      <c r="F38" s="28">
        <v>93.753554502369681</v>
      </c>
      <c r="G38" s="28">
        <v>109.29281767955801</v>
      </c>
      <c r="H38" s="28">
        <v>125.20253164556962</v>
      </c>
      <c r="I38" s="28">
        <v>145.45588235294119</v>
      </c>
      <c r="J38" s="28">
        <v>166.23529411764707</v>
      </c>
    </row>
    <row r="39" spans="2:10" x14ac:dyDescent="0.2">
      <c r="B39" s="29">
        <v>3600</v>
      </c>
      <c r="C39" s="28">
        <v>64.186750788643536</v>
      </c>
      <c r="D39" s="28">
        <v>75.081918819188189</v>
      </c>
      <c r="E39" s="28">
        <v>85.492436974789925</v>
      </c>
      <c r="F39" s="28">
        <v>96.432227488151668</v>
      </c>
      <c r="G39" s="28">
        <v>112.41546961325967</v>
      </c>
      <c r="H39" s="28">
        <v>128.77974683544304</v>
      </c>
      <c r="I39" s="28">
        <v>149.61176470588234</v>
      </c>
      <c r="J39" s="28">
        <v>170.98487394957985</v>
      </c>
    </row>
    <row r="40" spans="2:10" x14ac:dyDescent="0.2">
      <c r="B40" s="29">
        <v>3700</v>
      </c>
      <c r="C40" s="28">
        <v>65.969716088328084</v>
      </c>
      <c r="D40" s="28">
        <v>77.167527675276759</v>
      </c>
      <c r="E40" s="28">
        <v>87.867226890756314</v>
      </c>
      <c r="F40" s="28">
        <v>99.110900473933668</v>
      </c>
      <c r="G40" s="28">
        <v>115.53812154696134</v>
      </c>
      <c r="H40" s="28">
        <v>132.35696202531648</v>
      </c>
      <c r="I40" s="28">
        <v>153.76764705882354</v>
      </c>
      <c r="J40" s="28">
        <v>175.73445378151263</v>
      </c>
    </row>
    <row r="41" spans="2:10" x14ac:dyDescent="0.2">
      <c r="B41" s="29">
        <v>3800</v>
      </c>
      <c r="C41" s="28">
        <v>67.752681388012618</v>
      </c>
      <c r="D41" s="28">
        <v>79.253136531365314</v>
      </c>
      <c r="E41" s="28">
        <v>90.242016806722702</v>
      </c>
      <c r="F41" s="28">
        <v>101.78957345971565</v>
      </c>
      <c r="G41" s="28">
        <v>118.66077348066298</v>
      </c>
      <c r="H41" s="28">
        <v>135.93417721518986</v>
      </c>
      <c r="I41" s="28">
        <v>157.92352941176469</v>
      </c>
      <c r="J41" s="28">
        <v>180.4840336134454</v>
      </c>
    </row>
    <row r="42" spans="2:10" x14ac:dyDescent="0.2">
      <c r="B42" s="29">
        <v>3900</v>
      </c>
      <c r="C42" s="28">
        <v>69.535646687697167</v>
      </c>
      <c r="D42" s="28">
        <v>81.338745387453883</v>
      </c>
      <c r="E42" s="28">
        <v>92.616806722689091</v>
      </c>
      <c r="F42" s="28">
        <v>104.46824644549766</v>
      </c>
      <c r="G42" s="28">
        <v>121.78342541436466</v>
      </c>
      <c r="H42" s="28">
        <v>139.5113924050633</v>
      </c>
      <c r="I42" s="28">
        <v>162.0794117647059</v>
      </c>
      <c r="J42" s="28">
        <v>185.23361344537818</v>
      </c>
    </row>
    <row r="43" spans="2:10" x14ac:dyDescent="0.2">
      <c r="B43" s="29">
        <v>4000</v>
      </c>
      <c r="C43" s="28">
        <v>71.318611987381715</v>
      </c>
      <c r="D43" s="28">
        <v>83.424354243542453</v>
      </c>
      <c r="E43" s="28">
        <v>94.99159663865548</v>
      </c>
      <c r="F43" s="28">
        <v>107.14691943127964</v>
      </c>
      <c r="G43" s="28">
        <v>124.90607734806632</v>
      </c>
      <c r="H43" s="28">
        <v>143.08860759493672</v>
      </c>
      <c r="I43" s="28">
        <v>166.23529411764707</v>
      </c>
      <c r="J43" s="28">
        <v>189.98319327731096</v>
      </c>
    </row>
    <row r="44" spans="2:10" x14ac:dyDescent="0.2">
      <c r="B44" s="29">
        <v>4100</v>
      </c>
      <c r="C44" s="28">
        <v>73.101577287066263</v>
      </c>
      <c r="D44" s="28">
        <v>85.509963099631008</v>
      </c>
      <c r="E44" s="28">
        <v>97.366386554621869</v>
      </c>
      <c r="F44" s="28">
        <v>109.82559241706163</v>
      </c>
      <c r="G44" s="28">
        <v>128.02872928176797</v>
      </c>
      <c r="H44" s="28">
        <v>146.66582278481013</v>
      </c>
      <c r="I44" s="28">
        <v>170.39117647058825</v>
      </c>
      <c r="J44" s="28">
        <v>194.73277310924374</v>
      </c>
    </row>
    <row r="45" spans="2:10" x14ac:dyDescent="0.2">
      <c r="B45" s="29">
        <v>4200</v>
      </c>
      <c r="C45" s="28">
        <v>74.884542586750783</v>
      </c>
      <c r="D45" s="28">
        <v>87.595571955719549</v>
      </c>
      <c r="E45" s="28">
        <v>99.741176470588229</v>
      </c>
      <c r="F45" s="28">
        <v>112.5042654028436</v>
      </c>
      <c r="G45" s="28">
        <v>131.1513812154696</v>
      </c>
      <c r="H45" s="28">
        <v>150.24303797468352</v>
      </c>
      <c r="I45" s="28">
        <v>174.5470588235294</v>
      </c>
      <c r="J45" s="28">
        <v>199.48235294117646</v>
      </c>
    </row>
    <row r="46" spans="2:10" x14ac:dyDescent="0.2">
      <c r="B46" s="29">
        <v>4300</v>
      </c>
      <c r="C46" s="28">
        <v>76.667507886435345</v>
      </c>
      <c r="D46" s="28">
        <v>89.681180811808133</v>
      </c>
      <c r="E46" s="28">
        <v>102.11596638655463</v>
      </c>
      <c r="F46" s="28">
        <v>115.18293838862562</v>
      </c>
      <c r="G46" s="28">
        <v>134.27403314917129</v>
      </c>
      <c r="H46" s="28">
        <v>153.82025316455699</v>
      </c>
      <c r="I46" s="28">
        <v>178.7029411764706</v>
      </c>
      <c r="J46" s="28">
        <v>204.23193277310926</v>
      </c>
    </row>
    <row r="47" spans="2:10" x14ac:dyDescent="0.2">
      <c r="B47" s="29">
        <v>4400</v>
      </c>
      <c r="C47" s="28">
        <v>78.450473186119865</v>
      </c>
      <c r="D47" s="28">
        <v>91.766789667896674</v>
      </c>
      <c r="E47" s="28">
        <v>104.49075630252101</v>
      </c>
      <c r="F47" s="28">
        <v>117.86161137440759</v>
      </c>
      <c r="G47" s="28">
        <v>137.39668508287292</v>
      </c>
      <c r="H47" s="28">
        <v>157.39746835443037</v>
      </c>
      <c r="I47" s="28">
        <v>182.85882352941175</v>
      </c>
      <c r="J47" s="28">
        <v>208.98151260504201</v>
      </c>
    </row>
    <row r="48" spans="2:10" x14ac:dyDescent="0.2">
      <c r="B48" s="29">
        <v>4500</v>
      </c>
      <c r="C48" s="28">
        <v>80.233438485804427</v>
      </c>
      <c r="D48" s="28">
        <v>93.852398523985258</v>
      </c>
      <c r="E48" s="28">
        <v>106.86554621848741</v>
      </c>
      <c r="F48" s="28">
        <v>120.5402843601896</v>
      </c>
      <c r="G48" s="28">
        <v>140.51933701657461</v>
      </c>
      <c r="H48" s="28">
        <v>160.97468354430382</v>
      </c>
      <c r="I48" s="28">
        <v>187.01470588235296</v>
      </c>
      <c r="J48" s="28">
        <v>213.73109243697482</v>
      </c>
    </row>
    <row r="49" spans="2:10" x14ac:dyDescent="0.2">
      <c r="B49" s="29">
        <v>4600</v>
      </c>
      <c r="C49" s="28">
        <v>82.01640378548899</v>
      </c>
      <c r="D49" s="28">
        <v>95.938007380073827</v>
      </c>
      <c r="E49" s="28">
        <v>109.24033613445381</v>
      </c>
      <c r="F49" s="28">
        <v>123.2189573459716</v>
      </c>
      <c r="G49" s="28">
        <v>143.64198895027627</v>
      </c>
      <c r="H49" s="28">
        <v>164.55189873417726</v>
      </c>
      <c r="I49" s="28">
        <v>191.17058823529416</v>
      </c>
      <c r="J49" s="28">
        <v>218.48067226890763</v>
      </c>
    </row>
    <row r="50" spans="2:10" x14ac:dyDescent="0.2">
      <c r="B50" s="29">
        <v>4700</v>
      </c>
      <c r="C50" s="28">
        <v>83.79936908517351</v>
      </c>
      <c r="D50" s="28">
        <v>98.023616236162368</v>
      </c>
      <c r="E50" s="28">
        <v>111.61512605042017</v>
      </c>
      <c r="F50" s="28">
        <v>125.89763033175356</v>
      </c>
      <c r="G50" s="28">
        <v>146.7646408839779</v>
      </c>
      <c r="H50" s="28">
        <v>168.12911392405064</v>
      </c>
      <c r="I50" s="28">
        <v>195.32647058823528</v>
      </c>
      <c r="J50" s="28">
        <v>223.23025210084035</v>
      </c>
    </row>
    <row r="51" spans="2:10" x14ac:dyDescent="0.2">
      <c r="B51" s="29">
        <v>4800</v>
      </c>
      <c r="C51" s="28">
        <v>85.582334384858044</v>
      </c>
      <c r="D51" s="28">
        <v>100.10922509225092</v>
      </c>
      <c r="E51" s="28">
        <v>113.98991596638656</v>
      </c>
      <c r="F51" s="28">
        <v>128.57630331753555</v>
      </c>
      <c r="G51" s="28">
        <v>149.88729281767954</v>
      </c>
      <c r="H51" s="28">
        <v>171.70632911392403</v>
      </c>
      <c r="I51" s="28">
        <v>199.48235294117646</v>
      </c>
      <c r="J51" s="28">
        <v>227.97983193277312</v>
      </c>
    </row>
    <row r="52" spans="2:10" x14ac:dyDescent="0.2">
      <c r="B52" s="29">
        <v>4900</v>
      </c>
      <c r="C52" s="28">
        <v>87.365299684542606</v>
      </c>
      <c r="D52" s="28">
        <v>102.19483394833949</v>
      </c>
      <c r="E52" s="28">
        <v>116.36470588235296</v>
      </c>
      <c r="F52" s="28">
        <v>131.25497630331756</v>
      </c>
      <c r="G52" s="28">
        <v>153.00994475138123</v>
      </c>
      <c r="H52" s="28">
        <v>175.28354430379747</v>
      </c>
      <c r="I52" s="28">
        <v>203.63823529411766</v>
      </c>
      <c r="J52" s="28">
        <v>232.72941176470593</v>
      </c>
    </row>
    <row r="53" spans="2:10" x14ac:dyDescent="0.2">
      <c r="B53" s="29">
        <v>5000</v>
      </c>
      <c r="C53" s="28">
        <v>89.14826498422714</v>
      </c>
      <c r="D53" s="28">
        <v>104.28044280442805</v>
      </c>
      <c r="E53" s="28">
        <v>118.73949579831934</v>
      </c>
      <c r="F53" s="28">
        <v>133.93364928909955</v>
      </c>
      <c r="G53" s="28">
        <v>156.13259668508289</v>
      </c>
      <c r="H53" s="28">
        <v>178.86075949367088</v>
      </c>
      <c r="I53" s="28">
        <v>207.79411764705881</v>
      </c>
      <c r="J53" s="28">
        <v>237.47899159663868</v>
      </c>
    </row>
    <row r="54" spans="2:10" x14ac:dyDescent="0.2">
      <c r="B54" s="29">
        <v>5100</v>
      </c>
      <c r="C54" s="28">
        <v>90.931230283911674</v>
      </c>
      <c r="D54" s="28">
        <v>106.3660516605166</v>
      </c>
      <c r="E54" s="28">
        <v>121.11428571428573</v>
      </c>
      <c r="F54" s="28">
        <v>136.61232227488154</v>
      </c>
      <c r="G54" s="28">
        <v>159.25524861878452</v>
      </c>
      <c r="H54" s="28">
        <v>182.4379746835443</v>
      </c>
      <c r="I54" s="28">
        <v>211.95</v>
      </c>
      <c r="J54" s="28">
        <v>242.22857142857146</v>
      </c>
    </row>
    <row r="55" spans="2:10" x14ac:dyDescent="0.2">
      <c r="B55" s="29">
        <v>5200</v>
      </c>
      <c r="C55" s="28">
        <v>92.714195583596236</v>
      </c>
      <c r="D55" s="28">
        <v>108.45166051660519</v>
      </c>
      <c r="E55" s="28">
        <v>123.48907563025213</v>
      </c>
      <c r="F55" s="28">
        <v>139.29099526066355</v>
      </c>
      <c r="G55" s="28">
        <v>162.37790055248621</v>
      </c>
      <c r="H55" s="28">
        <v>186.01518987341774</v>
      </c>
      <c r="I55" s="28">
        <v>216.10588235294119</v>
      </c>
      <c r="J55" s="28">
        <v>246.97815126050426</v>
      </c>
    </row>
    <row r="56" spans="2:10" x14ac:dyDescent="0.2">
      <c r="B56" s="29">
        <v>5300</v>
      </c>
      <c r="C56" s="28">
        <v>94.497160883280756</v>
      </c>
      <c r="D56" s="28">
        <v>110.53726937269373</v>
      </c>
      <c r="E56" s="28">
        <v>125.86386554621849</v>
      </c>
      <c r="F56" s="28">
        <v>141.96966824644551</v>
      </c>
      <c r="G56" s="28">
        <v>165.50055248618784</v>
      </c>
      <c r="H56" s="28">
        <v>189.59240506329112</v>
      </c>
      <c r="I56" s="28">
        <v>220.26176470588231</v>
      </c>
      <c r="J56" s="28">
        <v>251.72773109243698</v>
      </c>
    </row>
    <row r="57" spans="2:10" x14ac:dyDescent="0.2">
      <c r="B57" s="29">
        <v>5400</v>
      </c>
      <c r="C57" s="28">
        <v>96.280126182965304</v>
      </c>
      <c r="D57" s="28">
        <v>112.6228782287823</v>
      </c>
      <c r="E57" s="28">
        <v>128.23865546218488</v>
      </c>
      <c r="F57" s="28">
        <v>144.64834123222752</v>
      </c>
      <c r="G57" s="28">
        <v>168.6232044198895</v>
      </c>
      <c r="H57" s="28">
        <v>193.16962025316457</v>
      </c>
      <c r="I57" s="28">
        <v>224.41764705882352</v>
      </c>
      <c r="J57" s="28">
        <v>256.47731092436976</v>
      </c>
    </row>
    <row r="58" spans="2:10" x14ac:dyDescent="0.2">
      <c r="B58" s="29">
        <v>5500</v>
      </c>
      <c r="C58" s="28">
        <v>98.063091482649853</v>
      </c>
      <c r="D58" s="28">
        <v>114.70848708487085</v>
      </c>
      <c r="E58" s="28">
        <v>130.61344537815128</v>
      </c>
      <c r="F58" s="28">
        <v>147.32701421800948</v>
      </c>
      <c r="G58" s="28">
        <v>171.74585635359117</v>
      </c>
      <c r="H58" s="28">
        <v>196.74683544303798</v>
      </c>
      <c r="I58" s="28">
        <v>228.5735294117647</v>
      </c>
      <c r="J58" s="28">
        <v>261.22689075630257</v>
      </c>
    </row>
    <row r="59" spans="2:10" x14ac:dyDescent="0.2">
      <c r="B59" s="29">
        <v>5600</v>
      </c>
      <c r="C59" s="28">
        <v>99.846056782334387</v>
      </c>
      <c r="D59" s="28">
        <v>116.79409594095941</v>
      </c>
      <c r="E59" s="28">
        <v>132.98823529411766</v>
      </c>
      <c r="F59" s="28">
        <v>150.00568720379147</v>
      </c>
      <c r="G59" s="28">
        <v>174.86850828729283</v>
      </c>
      <c r="H59" s="28">
        <v>200.32405063291139</v>
      </c>
      <c r="I59" s="28">
        <v>232.72941176470587</v>
      </c>
      <c r="J59" s="28">
        <v>265.97647058823532</v>
      </c>
    </row>
    <row r="60" spans="2:10" x14ac:dyDescent="0.2">
      <c r="B60" s="29">
        <v>5700</v>
      </c>
      <c r="C60" s="28">
        <v>101.62902208201895</v>
      </c>
      <c r="D60" s="28">
        <v>118.87970479704799</v>
      </c>
      <c r="E60" s="28">
        <v>135.36302521008406</v>
      </c>
      <c r="F60" s="28">
        <v>152.68436018957348</v>
      </c>
      <c r="G60" s="28">
        <v>177.99116022099449</v>
      </c>
      <c r="H60" s="28">
        <v>203.90126582278484</v>
      </c>
      <c r="I60" s="28">
        <v>236.88529411764708</v>
      </c>
      <c r="J60" s="28">
        <v>270.72605042016812</v>
      </c>
    </row>
    <row r="61" spans="2:10" x14ac:dyDescent="0.2">
      <c r="B61" s="29">
        <v>5800</v>
      </c>
      <c r="C61" s="28">
        <v>103.4119873817035</v>
      </c>
      <c r="D61" s="28">
        <v>120.96531365313656</v>
      </c>
      <c r="E61" s="28">
        <v>137.73781512605046</v>
      </c>
      <c r="F61" s="28">
        <v>155.3630331753555</v>
      </c>
      <c r="G61" s="28">
        <v>181.11381215469618</v>
      </c>
      <c r="H61" s="28">
        <v>207.47848101265828</v>
      </c>
      <c r="I61" s="28">
        <v>241.04117647058828</v>
      </c>
      <c r="J61" s="28">
        <v>275.47563025210093</v>
      </c>
    </row>
    <row r="62" spans="2:10" x14ac:dyDescent="0.2">
      <c r="B62" s="29">
        <v>5900</v>
      </c>
      <c r="C62" s="28">
        <v>105.19495268138802</v>
      </c>
      <c r="D62" s="28">
        <v>123.0509225092251</v>
      </c>
      <c r="E62" s="28">
        <v>140.11260504201681</v>
      </c>
      <c r="F62" s="28">
        <v>158.04170616113745</v>
      </c>
      <c r="G62" s="28">
        <v>184.23646408839778</v>
      </c>
      <c r="H62" s="28">
        <v>211.05569620253164</v>
      </c>
      <c r="I62" s="28">
        <v>245.1970588235294</v>
      </c>
      <c r="J62" s="28">
        <v>280.22521008403362</v>
      </c>
    </row>
    <row r="63" spans="2:10" x14ac:dyDescent="0.2">
      <c r="B63" s="29">
        <v>6000</v>
      </c>
      <c r="C63" s="28">
        <v>106.97791798107257</v>
      </c>
      <c r="D63" s="28">
        <v>125.13653136531366</v>
      </c>
      <c r="E63" s="28">
        <v>142.48739495798321</v>
      </c>
      <c r="F63" s="28">
        <v>160.72037914691944</v>
      </c>
      <c r="G63" s="28">
        <v>187.35911602209944</v>
      </c>
      <c r="H63" s="28">
        <v>214.63291139240505</v>
      </c>
      <c r="I63" s="28">
        <v>249.35294117647058</v>
      </c>
      <c r="J63" s="28">
        <v>284.97478991596643</v>
      </c>
    </row>
    <row r="64" spans="2:10" x14ac:dyDescent="0.2">
      <c r="B64" s="29">
        <v>6100</v>
      </c>
      <c r="C64" s="28">
        <v>108.76088328075711</v>
      </c>
      <c r="D64" s="28">
        <v>127.22214022140223</v>
      </c>
      <c r="E64" s="28">
        <v>144.86218487394962</v>
      </c>
      <c r="F64" s="28">
        <v>163.39905213270146</v>
      </c>
      <c r="G64" s="28">
        <v>190.48176795580113</v>
      </c>
      <c r="H64" s="28">
        <v>218.21012658227849</v>
      </c>
      <c r="I64" s="28">
        <v>253.50882352941179</v>
      </c>
      <c r="J64" s="28">
        <v>289.72436974789923</v>
      </c>
    </row>
    <row r="65" spans="2:10" x14ac:dyDescent="0.2">
      <c r="B65" s="29">
        <v>6200</v>
      </c>
      <c r="C65" s="28">
        <v>110.54384858044165</v>
      </c>
      <c r="D65" s="28">
        <v>129.3077490774908</v>
      </c>
      <c r="E65" s="28">
        <v>147.23697478991599</v>
      </c>
      <c r="F65" s="28">
        <v>166.07772511848344</v>
      </c>
      <c r="G65" s="28">
        <v>193.60441988950276</v>
      </c>
      <c r="H65" s="28">
        <v>221.7873417721519</v>
      </c>
      <c r="I65" s="28">
        <v>257.66470588235296</v>
      </c>
      <c r="J65" s="28">
        <v>294.47394957983198</v>
      </c>
    </row>
    <row r="66" spans="2:10" x14ac:dyDescent="0.2">
      <c r="B66" s="29">
        <v>6300</v>
      </c>
      <c r="C66" s="28">
        <v>112.3268138801262</v>
      </c>
      <c r="D66" s="28">
        <v>131.39335793357935</v>
      </c>
      <c r="E66" s="28">
        <v>149.61176470588236</v>
      </c>
      <c r="F66" s="28">
        <v>168.75639810426543</v>
      </c>
      <c r="G66" s="28">
        <v>196.72707182320443</v>
      </c>
      <c r="H66" s="28">
        <v>225.36455696202532</v>
      </c>
      <c r="I66" s="28">
        <v>261.82058823529411</v>
      </c>
      <c r="J66" s="28">
        <v>299.22352941176473</v>
      </c>
    </row>
    <row r="67" spans="2:10" x14ac:dyDescent="0.2">
      <c r="B67" s="29">
        <v>6400</v>
      </c>
      <c r="C67" s="28">
        <v>114.10977917981073</v>
      </c>
      <c r="D67" s="28">
        <v>133.47896678966791</v>
      </c>
      <c r="E67" s="28">
        <v>151.98655462184874</v>
      </c>
      <c r="F67" s="28">
        <v>171.43507109004742</v>
      </c>
      <c r="G67" s="28">
        <v>199.84972375690609</v>
      </c>
      <c r="H67" s="28">
        <v>228.94177215189873</v>
      </c>
      <c r="I67" s="28">
        <v>265.97647058823526</v>
      </c>
      <c r="J67" s="28">
        <v>303.97310924369748</v>
      </c>
    </row>
    <row r="68" spans="2:10" x14ac:dyDescent="0.2">
      <c r="B68" s="29">
        <v>6500</v>
      </c>
      <c r="C68" s="28">
        <v>115.89274447949526</v>
      </c>
      <c r="D68" s="28">
        <v>135.56457564575646</v>
      </c>
      <c r="E68" s="28">
        <v>154.36134453781514</v>
      </c>
      <c r="F68" s="28">
        <v>174.1137440758294</v>
      </c>
      <c r="G68" s="28">
        <v>202.97237569060772</v>
      </c>
      <c r="H68" s="28">
        <v>232.51898734177215</v>
      </c>
      <c r="I68" s="28">
        <v>270.13235294117646</v>
      </c>
      <c r="J68" s="28">
        <v>308.72268907563029</v>
      </c>
    </row>
    <row r="69" spans="2:10" x14ac:dyDescent="0.2">
      <c r="B69" s="29">
        <v>6600</v>
      </c>
      <c r="C69" s="28">
        <v>117.67570977917983</v>
      </c>
      <c r="D69" s="28">
        <v>137.65018450184505</v>
      </c>
      <c r="E69" s="28">
        <v>156.73613445378155</v>
      </c>
      <c r="F69" s="28">
        <v>176.79241706161142</v>
      </c>
      <c r="G69" s="28">
        <v>206.09502762430941</v>
      </c>
      <c r="H69" s="28">
        <v>236.09620253164559</v>
      </c>
      <c r="I69" s="28">
        <v>274.28823529411767</v>
      </c>
      <c r="J69" s="28">
        <v>313.47226890756309</v>
      </c>
    </row>
    <row r="70" spans="2:10" x14ac:dyDescent="0.2">
      <c r="B70" s="29">
        <v>6700</v>
      </c>
      <c r="C70" s="28">
        <v>119.45867507886436</v>
      </c>
      <c r="D70" s="28">
        <v>139.7357933579336</v>
      </c>
      <c r="E70" s="28">
        <v>159.11092436974792</v>
      </c>
      <c r="F70" s="28">
        <v>179.47109004739337</v>
      </c>
      <c r="G70" s="28">
        <v>209.21767955801107</v>
      </c>
      <c r="H70" s="28">
        <v>239.673417721519</v>
      </c>
      <c r="I70" s="28">
        <v>278.44411764705882</v>
      </c>
      <c r="J70" s="28">
        <v>318.22184873949584</v>
      </c>
    </row>
    <row r="71" spans="2:10" x14ac:dyDescent="0.2">
      <c r="B71" s="29">
        <v>6800</v>
      </c>
      <c r="C71" s="28">
        <v>121.24164037854891</v>
      </c>
      <c r="D71" s="28">
        <v>141.82140221402216</v>
      </c>
      <c r="E71" s="28">
        <v>161.48571428571429</v>
      </c>
      <c r="F71" s="28">
        <v>182.14976303317536</v>
      </c>
      <c r="G71" s="28">
        <v>212.3403314917127</v>
      </c>
      <c r="H71" s="28">
        <v>243.25063291139242</v>
      </c>
      <c r="I71" s="28">
        <v>282.59999999999997</v>
      </c>
      <c r="J71" s="28">
        <v>322.97142857142859</v>
      </c>
    </row>
    <row r="72" spans="2:10" x14ac:dyDescent="0.2">
      <c r="B72" s="29">
        <v>6900</v>
      </c>
      <c r="C72" s="28">
        <v>123.02460567823346</v>
      </c>
      <c r="D72" s="28">
        <v>143.90701107011071</v>
      </c>
      <c r="E72" s="28">
        <v>163.8605042016807</v>
      </c>
      <c r="F72" s="28">
        <v>184.82843601895738</v>
      </c>
      <c r="G72" s="28">
        <v>215.46298342541439</v>
      </c>
      <c r="H72" s="28">
        <v>246.82784810126586</v>
      </c>
      <c r="I72" s="28">
        <v>286.75588235294117</v>
      </c>
      <c r="J72" s="28">
        <v>327.7210084033614</v>
      </c>
    </row>
    <row r="73" spans="2:10" x14ac:dyDescent="0.2">
      <c r="B73" s="29">
        <v>7000</v>
      </c>
      <c r="C73" s="28">
        <v>124.807570977918</v>
      </c>
      <c r="D73" s="28">
        <v>145.99261992619927</v>
      </c>
      <c r="E73" s="28">
        <v>166.23529411764707</v>
      </c>
      <c r="F73" s="28">
        <v>187.50710900473936</v>
      </c>
      <c r="G73" s="28">
        <v>218.58563535911603</v>
      </c>
      <c r="H73" s="28">
        <v>250.40506329113924</v>
      </c>
      <c r="I73" s="28">
        <v>290.91176470588238</v>
      </c>
      <c r="J73" s="28">
        <v>332.47058823529414</v>
      </c>
    </row>
    <row r="74" spans="2:10" x14ac:dyDescent="0.2">
      <c r="B74" s="29">
        <v>7100</v>
      </c>
      <c r="C74" s="28">
        <v>126.59053627760254</v>
      </c>
      <c r="D74" s="28">
        <v>148.07822878228782</v>
      </c>
      <c r="E74" s="28">
        <v>168.61008403361348</v>
      </c>
      <c r="F74" s="28">
        <v>190.18578199052135</v>
      </c>
      <c r="G74" s="28">
        <v>221.70828729281769</v>
      </c>
      <c r="H74" s="28">
        <v>253.98227848101266</v>
      </c>
      <c r="I74" s="28">
        <v>295.06764705882352</v>
      </c>
      <c r="J74" s="28">
        <v>337.22016806722695</v>
      </c>
    </row>
    <row r="75" spans="2:10" x14ac:dyDescent="0.2">
      <c r="B75" s="29">
        <v>7200</v>
      </c>
      <c r="C75" s="28">
        <v>128.37350157728707</v>
      </c>
      <c r="D75" s="28">
        <v>150.16383763837638</v>
      </c>
      <c r="E75" s="28">
        <v>170.98487394957985</v>
      </c>
      <c r="F75" s="28">
        <v>192.86445497630334</v>
      </c>
      <c r="G75" s="28">
        <v>224.83093922651935</v>
      </c>
      <c r="H75" s="28">
        <v>257.55949367088607</v>
      </c>
      <c r="I75" s="28">
        <v>299.22352941176467</v>
      </c>
      <c r="J75" s="28">
        <v>341.9697478991597</v>
      </c>
    </row>
    <row r="76" spans="2:10" x14ac:dyDescent="0.2">
      <c r="B76" s="29">
        <v>7300</v>
      </c>
      <c r="C76" s="28">
        <v>130.15646687697162</v>
      </c>
      <c r="D76" s="28">
        <v>152.24944649446496</v>
      </c>
      <c r="E76" s="28">
        <v>173.35966386554625</v>
      </c>
      <c r="F76" s="28">
        <v>195.54312796208535</v>
      </c>
      <c r="G76" s="28">
        <v>227.95359116022101</v>
      </c>
      <c r="H76" s="28">
        <v>261.13670886075954</v>
      </c>
      <c r="I76" s="28">
        <v>303.37941176470588</v>
      </c>
      <c r="J76" s="28">
        <v>346.71932773109251</v>
      </c>
    </row>
    <row r="77" spans="2:10" x14ac:dyDescent="0.2">
      <c r="B77" s="29">
        <v>7400</v>
      </c>
      <c r="C77" s="28">
        <v>131.93943217665617</v>
      </c>
      <c r="D77" s="28">
        <v>154.33505535055352</v>
      </c>
      <c r="E77" s="28">
        <v>175.73445378151263</v>
      </c>
      <c r="F77" s="28">
        <v>198.22180094786734</v>
      </c>
      <c r="G77" s="28">
        <v>231.07624309392267</v>
      </c>
      <c r="H77" s="28">
        <v>264.71392405063295</v>
      </c>
      <c r="I77" s="28">
        <v>307.53529411764708</v>
      </c>
      <c r="J77" s="28">
        <v>351.46890756302525</v>
      </c>
    </row>
    <row r="78" spans="2:10" x14ac:dyDescent="0.2">
      <c r="B78" s="29">
        <v>7500</v>
      </c>
      <c r="C78" s="28">
        <v>133.72239747634072</v>
      </c>
      <c r="D78" s="28">
        <v>156.42066420664207</v>
      </c>
      <c r="E78" s="28">
        <v>178.109243697479</v>
      </c>
      <c r="F78" s="28">
        <v>200.90047393364932</v>
      </c>
      <c r="G78" s="28">
        <v>234.19889502762433</v>
      </c>
      <c r="H78" s="28">
        <v>268.29113924050631</v>
      </c>
      <c r="I78" s="28">
        <v>311.69117647058823</v>
      </c>
      <c r="J78" s="28">
        <v>356.218487394958</v>
      </c>
    </row>
    <row r="79" spans="2:10" x14ac:dyDescent="0.2">
      <c r="B79" s="29">
        <v>7600</v>
      </c>
      <c r="C79" s="28">
        <v>135.50536277602524</v>
      </c>
      <c r="D79" s="28">
        <v>158.50627306273063</v>
      </c>
      <c r="E79" s="28">
        <v>180.4840336134454</v>
      </c>
      <c r="F79" s="28">
        <v>203.57914691943131</v>
      </c>
      <c r="G79" s="28">
        <v>237.32154696132596</v>
      </c>
      <c r="H79" s="28">
        <v>271.86835443037972</v>
      </c>
      <c r="I79" s="28">
        <v>315.84705882352938</v>
      </c>
      <c r="J79" s="28">
        <v>360.96806722689081</v>
      </c>
    </row>
    <row r="80" spans="2:10" x14ac:dyDescent="0.2">
      <c r="B80" s="29">
        <v>7700</v>
      </c>
      <c r="C80" s="28">
        <v>137.28832807570981</v>
      </c>
      <c r="D80" s="28">
        <v>160.59188191881921</v>
      </c>
      <c r="E80" s="28">
        <v>182.85882352941181</v>
      </c>
      <c r="F80" s="28">
        <v>206.25781990521332</v>
      </c>
      <c r="G80" s="28">
        <v>240.44419889502765</v>
      </c>
      <c r="H80" s="28">
        <v>275.4455696202532</v>
      </c>
      <c r="I80" s="28">
        <v>320.00294117647059</v>
      </c>
      <c r="J80" s="28">
        <v>365.71764705882362</v>
      </c>
    </row>
    <row r="81" spans="2:10" x14ac:dyDescent="0.2">
      <c r="B81" s="29">
        <v>7800</v>
      </c>
      <c r="C81" s="28">
        <v>139.07129337539433</v>
      </c>
      <c r="D81" s="28">
        <v>162.67749077490777</v>
      </c>
      <c r="E81" s="28">
        <v>185.23361344537818</v>
      </c>
      <c r="F81" s="28">
        <v>208.93649289099531</v>
      </c>
      <c r="G81" s="28">
        <v>243.56685082872932</v>
      </c>
      <c r="H81" s="28">
        <v>279.02278481012661</v>
      </c>
      <c r="I81" s="28">
        <v>324.15882352941179</v>
      </c>
      <c r="J81" s="28">
        <v>370.46722689075636</v>
      </c>
    </row>
    <row r="82" spans="2:10" x14ac:dyDescent="0.2">
      <c r="B82" s="29">
        <v>7900</v>
      </c>
      <c r="C82" s="28">
        <v>140.85425867507888</v>
      </c>
      <c r="D82" s="28">
        <v>164.76309963099632</v>
      </c>
      <c r="E82" s="28">
        <v>187.60840336134456</v>
      </c>
      <c r="F82" s="28">
        <v>211.61516587677727</v>
      </c>
      <c r="G82" s="28">
        <v>246.68950276243095</v>
      </c>
      <c r="H82" s="28">
        <v>282.60000000000002</v>
      </c>
      <c r="I82" s="28">
        <v>328.31470588235294</v>
      </c>
      <c r="J82" s="28">
        <v>375.21680672268911</v>
      </c>
    </row>
    <row r="83" spans="2:10" x14ac:dyDescent="0.2">
      <c r="B83" s="29">
        <v>8000</v>
      </c>
      <c r="C83" s="28">
        <v>142.63722397476343</v>
      </c>
      <c r="D83" s="28">
        <v>166.84870848708491</v>
      </c>
      <c r="E83" s="28">
        <v>189.98319327731096</v>
      </c>
      <c r="F83" s="28">
        <v>214.29383886255928</v>
      </c>
      <c r="G83" s="28">
        <v>249.81215469613264</v>
      </c>
      <c r="H83" s="28">
        <v>286.17721518987344</v>
      </c>
      <c r="I83" s="28">
        <v>332.47058823529414</v>
      </c>
      <c r="J83" s="28">
        <v>379.96638655462192</v>
      </c>
    </row>
    <row r="84" spans="2:10" x14ac:dyDescent="0.2">
      <c r="B84" s="29" t="s">
        <v>7</v>
      </c>
      <c r="C84" s="28">
        <v>5776.8075709779187</v>
      </c>
      <c r="D84" s="28">
        <v>6757.3726937269339</v>
      </c>
      <c r="E84" s="28">
        <v>7694.3193277310938</v>
      </c>
      <c r="F84" s="28">
        <v>8678.9004739336506</v>
      </c>
      <c r="G84" s="28">
        <v>10117.392265193372</v>
      </c>
      <c r="H84" s="28">
        <v>11590.177215189875</v>
      </c>
      <c r="I84" s="28">
        <v>13465.058823529413</v>
      </c>
      <c r="J84" s="28">
        <v>15388.638655462188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</vt:lpstr>
      <vt:lpstr>Wykres predkosci do obrotow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local</cp:lastModifiedBy>
  <dcterms:modified xsi:type="dcterms:W3CDTF">2022-05-21T11:02:42Z</dcterms:modified>
</cp:coreProperties>
</file>